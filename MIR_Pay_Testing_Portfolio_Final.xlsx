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01 Тест-план" sheetId="1" state="visible" r:id="rId1"/>
    <sheet xmlns:r="http://schemas.openxmlformats.org/officeDocument/2006/relationships" name="02 Чек-лист" sheetId="2" state="visible" r:id="rId2"/>
    <sheet xmlns:r="http://schemas.openxmlformats.org/officeDocument/2006/relationships" name="03 Тест-кейсы" sheetId="3" state="visible" r:id="rId3"/>
    <sheet xmlns:r="http://schemas.openxmlformats.org/officeDocument/2006/relationships" name="04 Сводка" sheetId="4" state="visible" r:id="rId4"/>
    <sheet xmlns:r="http://schemas.openxmlformats.org/officeDocument/2006/relationships" name="05 Уточнения" sheetId="5" state="visible" r:id="rId5"/>
    <sheet xmlns:r="http://schemas.openxmlformats.org/officeDocument/2006/relationships" name="06 Баг-репорты" sheetId="6" state="visible" r:id="rId6"/>
  </sheets>
  <definedNames>
    <definedName name="_xlnm.Print_Titles" localSheetId="0">'01 Тест-план'!$1:$1</definedName>
    <definedName name="_xlnm._FilterDatabase" localSheetId="1" hidden="1">'02 Чек-лист'!$A$1:$I$48</definedName>
    <definedName name="_xlnm.Print_Titles" localSheetId="1">'02 Чек-лист'!$1:$1</definedName>
    <definedName name="_xlnm._FilterDatabase" localSheetId="2" hidden="1">'03 Тест-кейсы'!$A$1:$L$28</definedName>
    <definedName name="_xlnm.Print_Titles" localSheetId="2">'03 Тест-кейсы'!$1:$1</definedName>
    <definedName name="_xlnm.Print_Titles" localSheetId="3">'04 Сводка'!$1:$1</definedName>
    <definedName name="_xlnm.Print_Titles" localSheetId="4">'05 Уточнения'!$1:$1</definedName>
    <definedName name="_xlnm._FilterDatabase" localSheetId="5" hidden="1">'06 Баг-репорты'!$A$1:$L$7</definedName>
    <definedName name="_xlnm.Print_Titles" localSheetId="5">'06 Баг-репорты'!$1:$1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ptos"/>
      <b val="1"/>
      <color rgb="FFFFFFFF"/>
      <sz val="10"/>
    </font>
    <font>
      <name val="Calibri"/>
      <b val="1"/>
      <color rgb="FF1F4E78"/>
      <sz val="11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43447"/>
      </patternFill>
    </fill>
    <fill>
      <patternFill patternType="solid">
        <fgColor rgb="FFF2F5F8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3" fillId="7" borderId="0" pivotButton="0" quotePrefix="0" xfId="0"/>
    <xf numFmtId="0" fontId="4" fillId="0" borderId="0" applyAlignment="1" pivotButton="0" quotePrefix="0" xfId="2">
      <alignment vertical="top" wrapText="1"/>
    </xf>
    <xf numFmtId="0" fontId="3" fillId="0" borderId="0" applyAlignment="1" pivotButton="0" quotePrefix="0" xfId="0">
      <alignment vertical="top" wrapText="1"/>
    </xf>
  </cellXfs>
  <cellStyles count="3">
    <cellStyle name="Обычный" xfId="0" builtinId="0"/>
    <cellStyle name="Гиперссылка" xfId="1" builtinId="8"/>
    <cellStyle name="Hyperlink" xfId="2" builtinId="8" hidden="0"/>
  </cellStyles>
  <dxfs count="6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Сводка по проекту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cat>
            <strRef>
              <f>'04 Сводка'!$A$2:$A$9</f>
              <strCache>
                <ptCount val="8"/>
                <pt idx="0">
                  <v>Всего проверок / кейсов</v>
                </pt>
                <pt idx="1">
                  <v>Пройдено</v>
                </pt>
                <pt idx="2">
                  <v>Не пройдено</v>
                </pt>
                <pt idx="3">
                  <v>Заблокировано</v>
                </pt>
                <pt idx="4">
                  <v>Не применимо</v>
                </pt>
                <pt idx="5">
                  <v>Не выполнено</v>
                </pt>
                <pt idx="6">
                  <v>Доля пройденных среди всех</v>
                </pt>
                <pt idx="7">
                  <v>Доля пройденных среди завершённых (Пройден + Не пройден)</v>
                </pt>
              </strCache>
            </strRef>
          </cat>
          <val>
            <numRef>
              <f>'04 Сводка'!$B$2:$B$9</f>
              <numCache>
                <formatCode>General</formatCode>
                <ptCount val="8"/>
                <pt idx="0">
                  <v>46</v>
                </pt>
                <pt idx="1">
                  <v>43</v>
                </pt>
                <pt idx="2">
                  <v>3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formatCode>0.0%</formatCode>
                  <v>0.9347826086956522</v>
                </pt>
                <pt idx="7">
                  <formatCode>0.0%</formatCode>
                  <v>0.9347826086956522</v>
                </pt>
              </numCache>
            </numRef>
          </val>
        </ser>
        <ser>
          <idx val="1"/>
          <order val="1"/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cat>
            <strRef>
              <f>'04 Сводка'!$A$2:$A$9</f>
              <strCache>
                <ptCount val="8"/>
                <pt idx="0">
                  <v>Всего проверок / кейсов</v>
                </pt>
                <pt idx="1">
                  <v>Пройдено</v>
                </pt>
                <pt idx="2">
                  <v>Не пройдено</v>
                </pt>
                <pt idx="3">
                  <v>Заблокировано</v>
                </pt>
                <pt idx="4">
                  <v>Не применимо</v>
                </pt>
                <pt idx="5">
                  <v>Не выполнено</v>
                </pt>
                <pt idx="6">
                  <v>Доля пройденных среди всех</v>
                </pt>
                <pt idx="7">
                  <v>Доля пройденных среди завершённых (Пройден + Не пройден)</v>
                </pt>
              </strCache>
            </strRef>
          </cat>
          <val>
            <numRef>
              <f>'04 Сводка'!$C$2:$C$9</f>
              <numCache>
                <formatCode>General</formatCode>
                <ptCount val="8"/>
                <pt idx="0">
                  <v>25</v>
                </pt>
                <pt idx="1">
                  <v>6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19</v>
                </pt>
                <pt idx="6">
                  <formatCode>0.0%</formatCode>
                  <v>0.24</v>
                </pt>
                <pt idx="7">
                  <formatCode>0.0%</formatCode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446917136"/>
        <axId val="1446917616"/>
      </barChart>
      <catAx>
        <axId val="14469171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446917616"/>
        <crosses val="autoZero"/>
        <auto val="1"/>
        <lblAlgn val="ctr"/>
        <lblOffset val="100"/>
        <noMultiLvlLbl val="0"/>
      </catAx>
      <valAx>
        <axId val="144691761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ru-RU"/>
          </a:p>
        </txPr>
        <crossAx val="14469171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389964</colOff>
      <row>11</row>
      <rowOff>4481</rowOff>
    </from>
    <to>
      <col>1</col>
      <colOff>1671917</colOff>
      <row>24</row>
      <rowOff>58269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stPlanTable" displayName="TestPlanTable" ref="A1:C17" headerRowCount="1">
  <autoFilter ref="A1:C17"/>
  <tableColumns count="3">
    <tableColumn id="1" name="Раздел"/>
    <tableColumn id="2" name="Параметр"/>
    <tableColumn id="3" name="Значение / опис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ecklistTable" displayName="ChecklistTable" ref="A1:I47" headerRowCount="1">
  <autoFilter ref="A1:I47"/>
  <tableColumns count="9">
    <tableColumn id="1" name="ID проверки"/>
    <tableColumn id="2" name="Test Suite ID"/>
    <tableColumn id="3" name="Test Suite"/>
    <tableColumn id="4" name="Проверка"/>
    <tableColumn id="5" name="Ожидаемый результат"/>
    <tableColumn id="6" name="Статус"/>
    <tableColumn id="7" name="Фактический результат"/>
    <tableColumn id="8" name="Bug ID / ссылка"/>
    <tableColumn id="9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stCasesTable" displayName="TestCasesTable" ref="A1:L26" headerRowCount="1">
  <autoFilter ref="A1:L26"/>
  <tableColumns count="12">
    <tableColumn id="1" name="Test Case ID"/>
    <tableColumn id="2" name="Test Suite ID"/>
    <tableColumn id="3" name="Test Suite"/>
    <tableColumn id="4" name="Название"/>
    <tableColumn id="5" name="Предусловия"/>
    <tableColumn id="6" name="Тестовые данные"/>
    <tableColumn id="7" name="Шаги выполнения"/>
    <tableColumn id="8" name="Ожидаемый результат"/>
    <tableColumn id="9" name="Статус"/>
    <tableColumn id="10" name="Фактический результат"/>
    <tableColumn id="11" name="Bug ID / ссылка"/>
    <tableColumn id="12" name="Примечан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larificationsTable" displayName="ClarificationsTable" ref="A1:F16" headerRowCount="1">
  <autoFilter ref="A1:F16"/>
  <tableColumns count="6">
    <tableColumn id="1" name="ID"/>
    <tableColumn id="2" name="Область"/>
    <tableColumn id="3" name="Вопрос"/>
    <tableColumn id="4" name="Статус"/>
    <tableColumn id="5" name="Почему важно"/>
    <tableColumn id="6" name="Ответ / реш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6 &#1041;&#1072;&#1075;-&#1088;&#1077;&#1087;&#1086;&#1088;&#1090;&#1099;'!A2" TargetMode="External" Id="rId1"/><Relationship Type="http://schemas.openxmlformats.org/officeDocument/2006/relationships/hyperlink" Target="#'06 &#1041;&#1072;&#1075;-&#1088;&#1077;&#1087;&#1086;&#1088;&#1090;&#1099;'!A3" TargetMode="External" Id="rId2"/><Relationship Type="http://schemas.openxmlformats.org/officeDocument/2006/relationships/hyperlink" Target="#'06 &#1041;&#1072;&#1075;-&#1088;&#1077;&#1087;&#1086;&#1088;&#1090;&#1099;'!A6" TargetMode="External" Id="rId3"/><Relationship Type="http://schemas.openxmlformats.org/officeDocument/2006/relationships/hyperlink" Target="#'06 &#1041;&#1072;&#1075;-&#1088;&#1077;&#1087;&#1086;&#1088;&#1090;&#1099;'!A7" TargetMode="External" Id="rId4"/><Relationship Type="http://schemas.openxmlformats.org/officeDocument/2006/relationships/hyperlink" Target="#'06 &#1041;&#1072;&#1075;-&#1088;&#1077;&#1087;&#1086;&#1088;&#1090;&#1099;'!A5" TargetMode="External" Id="rId5"/><Relationship Type="http://schemas.openxmlformats.org/officeDocument/2006/relationships/hyperlink" Target="#'06 &#1041;&#1072;&#1075;-&#1088;&#1077;&#1087;&#1086;&#1088;&#1090;&#1099;'!A4" TargetMode="External" Id="rId6"/><Relationship Type="http://schemas.openxmlformats.org/officeDocument/2006/relationships/table" Target="/xl/tables/table2.xml" Id="rId7"/></Relationships>
</file>

<file path=xl/worksheets/_rels/sheet3.xml.rels><Relationships xmlns="http://schemas.openxmlformats.org/package/2006/relationships"><Relationship Type="http://schemas.openxmlformats.org/officeDocument/2006/relationships/hyperlink" Target="#'06 &#1041;&#1072;&#1075;-&#1088;&#1077;&#1087;&#1086;&#1088;&#1090;&#1099;'!A2" TargetMode="External" Id="rId1"/><Relationship Type="http://schemas.openxmlformats.org/officeDocument/2006/relationships/hyperlink" Target="#'06 &#1041;&#1072;&#1075;-&#1088;&#1077;&#1087;&#1086;&#1088;&#1090;&#1099;'!A3" TargetMode="External" Id="rId2"/><Relationship Type="http://schemas.openxmlformats.org/officeDocument/2006/relationships/hyperlink" Target="#'06 &#1041;&#1072;&#1075;-&#1088;&#1077;&#1087;&#1086;&#1088;&#1090;&#1099;'!A7" TargetMode="External" Id="rId3"/><Relationship Type="http://schemas.openxmlformats.org/officeDocument/2006/relationships/hyperlink" Target="#'06 &#1041;&#1072;&#1075;-&#1088;&#1077;&#1087;&#1086;&#1088;&#1090;&#1099;'!A5" TargetMode="External" Id="rId4"/><Relationship Type="http://schemas.openxmlformats.org/officeDocument/2006/relationships/hyperlink" Target="#'06 &#1041;&#1072;&#1075;-&#1088;&#1077;&#1087;&#1086;&#1088;&#1090;&#1099;'!A4" TargetMode="External" Id="rId5"/><Relationship Type="http://schemas.openxmlformats.org/officeDocument/2006/relationships/hyperlink" Target="#'06 &#1041;&#1072;&#1075;-&#1088;&#1077;&#1087;&#1086;&#1088;&#1090;&#1099;'!A6" TargetMode="External" Id="rId6"/><Relationship Type="http://schemas.openxmlformats.org/officeDocument/2006/relationships/table" Target="/xl/tables/table3.xml" Id="rId7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drive/folders/10jWvaFW38a1fCROjavYmH7d_KNWNC8_m?usp=sharing" TargetMode="External" Id="rId1"/><Relationship Type="http://schemas.openxmlformats.org/officeDocument/2006/relationships/hyperlink" Target="https://drive.google.com/drive/folders/10jWvaFW38a1fCROjavYmH7d_KNWNC8_m?usp=sharing" TargetMode="External" Id="rId2"/><Relationship Type="http://schemas.openxmlformats.org/officeDocument/2006/relationships/hyperlink" Target="https://drive.google.com/drive/folders/10jWvaFW38a1fCROjavYmH7d_KNWNC8_m?usp=sharing" TargetMode="External" Id="rId3"/><Relationship Type="http://schemas.openxmlformats.org/officeDocument/2006/relationships/hyperlink" Target="https://drive.google.com/drive/folders/10jWvaFW38a1fCROjavYmH7d_KNWNC8_m?usp=sharing" TargetMode="External" Id="rId4"/><Relationship Type="http://schemas.openxmlformats.org/officeDocument/2006/relationships/hyperlink" Target="https://drive.google.com/drive/folders/10jWvaFW38a1fCROjavYmH7d_KNWNC8_m?usp=sharing" TargetMode="External" Id="rId5"/><Relationship Type="http://schemas.openxmlformats.org/officeDocument/2006/relationships/hyperlink" Target="https://drive.google.com/drive/folders/10jWvaFW38a1fCROjavYmH7d_KNWNC8_m?usp=sharing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zoomScale="85" workbookViewId="0">
      <pane ySplit="1" topLeftCell="A2" activePane="bottomLeft" state="frozen"/>
      <selection pane="bottomLeft" activeCell="C17" sqref="C17"/>
    </sheetView>
  </sheetViews>
  <sheetFormatPr baseColWidth="8" defaultRowHeight="14.4"/>
  <cols>
    <col width="23" customWidth="1" style="10" min="1" max="1"/>
    <col width="30" customWidth="1" style="10" min="2" max="2"/>
    <col width="100" customWidth="1" style="10" min="3" max="3"/>
  </cols>
  <sheetData>
    <row r="1" ht="31.95" customHeight="1" s="10">
      <c r="A1" s="1" t="inlineStr">
        <is>
          <t>Раздел</t>
        </is>
      </c>
      <c r="B1" s="1" t="inlineStr">
        <is>
          <t>Параметр</t>
        </is>
      </c>
      <c r="C1" s="1" t="inlineStr">
        <is>
          <t>Значение / описание</t>
        </is>
      </c>
    </row>
    <row r="2" ht="37.95" customHeight="1" s="10">
      <c r="A2" s="2" t="inlineStr">
        <is>
          <t>Общие сведения</t>
        </is>
      </c>
      <c r="B2" s="3" t="inlineStr">
        <is>
          <t>Приложение</t>
        </is>
      </c>
      <c r="C2" s="3" t="inlineStr">
        <is>
          <t>MIR Pay</t>
        </is>
      </c>
    </row>
    <row r="3" ht="37.95" customHeight="1" s="10">
      <c r="A3" s="2" t="inlineStr">
        <is>
          <t>Общие сведения</t>
        </is>
      </c>
      <c r="B3" s="3" t="inlineStr">
        <is>
          <t>Платформа</t>
        </is>
      </c>
      <c r="C3" s="3" t="inlineStr">
        <is>
          <t>Android 16</t>
        </is>
      </c>
    </row>
    <row r="4" ht="37.95" customHeight="1" s="10">
      <c r="A4" s="2" t="inlineStr">
        <is>
          <t>Общие сведения</t>
        </is>
      </c>
      <c r="B4" s="3" t="inlineStr">
        <is>
          <t>Устройство</t>
        </is>
      </c>
      <c r="C4" s="3" t="inlineStr">
        <is>
          <t>Redmi Note 13 Pro+ 5G</t>
        </is>
      </c>
    </row>
    <row r="5" ht="37.95" customHeight="1" s="10">
      <c r="A5" s="2" t="inlineStr">
        <is>
          <t>Общие сведения</t>
        </is>
      </c>
      <c r="B5" s="3" t="inlineStr">
        <is>
          <t>ОС / прошивка</t>
        </is>
      </c>
      <c r="C5" s="3" t="inlineStr">
        <is>
          <t>HyperOS 3.0.301.0.WNORUXC0</t>
        </is>
      </c>
    </row>
    <row r="6" ht="37.95" customHeight="1" s="10">
      <c r="A6" s="2" t="inlineStr">
        <is>
          <t>Общие сведения</t>
        </is>
      </c>
      <c r="B6" s="3" t="inlineStr">
        <is>
          <t>Версия приложения / build</t>
        </is>
      </c>
      <c r="C6" s="3" t="inlineStr">
        <is>
          <t>1.64.5.330</t>
        </is>
      </c>
    </row>
    <row r="7" ht="37.95" customHeight="1" s="10">
      <c r="A7" s="2" t="inlineStr">
        <is>
          <t>Общие сведения</t>
        </is>
      </c>
      <c r="B7" s="3" t="inlineStr">
        <is>
          <t>Среда</t>
        </is>
      </c>
      <c r="C7" s="3" t="inlineStr">
        <is>
          <t>Test / QA</t>
        </is>
      </c>
    </row>
    <row r="8" ht="37.95" customHeight="1" s="10">
      <c r="A8" s="2" t="inlineStr">
        <is>
          <t>Общие сведения</t>
        </is>
      </c>
      <c r="B8" s="3" t="inlineStr">
        <is>
          <t>Период тестирования</t>
        </is>
      </c>
      <c r="C8" s="3" t="inlineStr">
        <is>
          <t>28.09.2026–05.10.2026</t>
        </is>
      </c>
    </row>
    <row r="9" ht="37.95" customHeight="1" s="10">
      <c r="A9" s="2" t="inlineStr">
        <is>
          <t>Цель</t>
        </is>
      </c>
      <c r="B9" s="3" t="inlineStr">
        <is>
          <t>Цель тестирования</t>
        </is>
      </c>
      <c r="C9" s="3" t="inlineStr">
        <is>
          <t>Проверить основные пользовательские сценарии MIR Pay, обработку сетевых сбоев и прерываний, установку, интерфейс, разрешения, безопасность и регрессию.</t>
        </is>
      </c>
    </row>
    <row r="10" ht="37.95" customHeight="1" s="10">
      <c r="A10" s="2" t="inlineStr">
        <is>
          <t>Область тестирования</t>
        </is>
      </c>
      <c r="B10" s="3" t="inlineStr">
        <is>
          <t>Входит</t>
        </is>
      </c>
      <c r="C10" s="3" t="inlineStr">
        <is>
          <t>Установка и первый запуск; привязка карты сканированием и вручную; выбор карты по умолчанию; NFC-оплата; сеть и прерывания; UI и ориентация; разрешения; обработка ошибок; полная регрессия.</t>
        </is>
      </c>
    </row>
    <row r="11" ht="37.95" customHeight="1" s="10">
      <c r="A11" s="2" t="inlineStr">
        <is>
          <t>Область тестирования</t>
        </is>
      </c>
      <c r="B11" s="3" t="inlineStr">
        <is>
          <t>Не подтверждено требованиями</t>
        </is>
      </c>
      <c r="C11" s="3" t="inlineStr">
        <is>
          <t>Поддерживаемые банки и карты; требования к интернету при оплате; OTP/3DS; поведение при заблокированном экране; правила повторной оплаты; критерии успешной оплаты.</t>
        </is>
      </c>
    </row>
    <row r="12" ht="37.95" customHeight="1" s="10">
      <c r="A12" s="2" t="inlineStr">
        <is>
          <t>Предусловия</t>
        </is>
      </c>
      <c r="B12" s="3" t="inlineStr">
        <is>
          <t>Базовые условия оплаты</t>
        </is>
      </c>
      <c r="C12" s="3" t="inlineStr">
        <is>
          <t>Экран разблокирован, NFC включён, устройство и тестовая карта настроены, интернет доступен, если требуется сценарием, QA-среда готова.</t>
        </is>
      </c>
    </row>
    <row r="13" ht="37.95" customHeight="1" s="10">
      <c r="A13" s="2" t="inlineStr">
        <is>
          <t>Критерии входа</t>
        </is>
      </c>
      <c r="B13" s="3" t="inlineStr">
        <is>
          <t>Старт тестирования</t>
        </is>
      </c>
      <c r="C13" s="3" t="inlineStr">
        <is>
          <t>Доступны тестовая сборка и устройство; предоставлены тестовые карты и процедура проверки результата платежа.</t>
        </is>
      </c>
    </row>
    <row r="14" ht="37.95" customHeight="1" s="10">
      <c r="A14" s="2" t="inlineStr">
        <is>
          <t>Критерии выхода</t>
        </is>
      </c>
      <c r="B14" s="3" t="inlineStr">
        <is>
          <t>Завершение</t>
        </is>
      </c>
      <c r="C14" s="3" t="inlineStr">
        <is>
          <t>Запланированные проверки выполнены либо помечены как заблокированные; критические дефекты зарегистрированы; результаты задокументированы.</t>
        </is>
      </c>
    </row>
    <row r="15" ht="37.95" customHeight="1" s="10">
      <c r="A15" s="2" t="inlineStr">
        <is>
          <t>Риски</t>
        </is>
      </c>
      <c r="B15" s="3" t="inlineStr">
        <is>
          <t>Платёжный статус после сбоя сети</t>
        </is>
      </c>
      <c r="C15" s="3" t="inlineStr">
        <is>
          <t>Не повторять оплату до проверки статуса через утверждённый QA-источник — существует риск дублирования.</t>
        </is>
      </c>
    </row>
    <row r="16" ht="37.95" customHeight="1" s="10">
      <c r="A16" s="2" t="inlineStr">
        <is>
          <t>Риски</t>
        </is>
      </c>
      <c r="B16" s="3" t="inlineStr">
        <is>
          <t>Недостаток требований</t>
        </is>
      </c>
      <c r="C16" s="3" t="inlineStr">
        <is>
          <t>Ожидаемые результаты спорных сценариев являются черновыми и требуют подтверждения.</t>
        </is>
      </c>
    </row>
    <row r="17" ht="37.95" customHeight="1" s="10">
      <c r="A17" s="2" t="inlineStr">
        <is>
          <t>Безопасность</t>
        </is>
      </c>
      <c r="B17" s="3" t="inlineStr">
        <is>
          <t>Чувствительные данные</t>
        </is>
      </c>
      <c r="C17" s="3" t="inlineStr">
        <is>
          <t>Не помещать реальные PAN, CVV, PIN, OTP и токены в логи, скриншоты и отчёты.</t>
        </is>
      </c>
    </row>
  </sheetData>
  <pageMargins left="0.25" right="0.25" top="1" bottom="1" header="0.5" footer="0.5"/>
  <pageSetup orientation="landscape" paperSize="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showGridLines="0" topLeftCell="C1" zoomScale="85" workbookViewId="0">
      <pane ySplit="1" topLeftCell="A2" activePane="bottomLeft" state="frozen"/>
      <selection pane="bottomLeft" activeCell="D49" sqref="D49"/>
    </sheetView>
  </sheetViews>
  <sheetFormatPr baseColWidth="8" defaultRowHeight="14.4"/>
  <cols>
    <col width="15" customWidth="1" style="10" min="1" max="1"/>
    <col width="14" customWidth="1" style="10" min="2" max="2"/>
    <col width="33" customWidth="1" style="10" min="3" max="3"/>
    <col width="52" customWidth="1" style="10" min="4" max="4"/>
    <col width="62" customWidth="1" style="10" min="5" max="5"/>
    <col width="18" customWidth="1" style="10" min="6" max="6"/>
    <col width="48" customWidth="1" style="10" min="7" max="7"/>
    <col width="22" customWidth="1" style="10" min="8" max="8"/>
    <col width="35" customWidth="1" style="10" min="9" max="9"/>
  </cols>
  <sheetData>
    <row r="1" ht="31.95" customHeight="1" s="10">
      <c r="A1" s="1" t="inlineStr">
        <is>
          <t>ID проверки</t>
        </is>
      </c>
      <c r="B1" s="1" t="inlineStr">
        <is>
          <t>Test Suite ID</t>
        </is>
      </c>
      <c r="C1" s="1" t="inlineStr">
        <is>
          <t>Test Suite</t>
        </is>
      </c>
      <c r="D1" s="1" t="inlineStr">
        <is>
          <t>Проверка</t>
        </is>
      </c>
      <c r="E1" s="1" t="inlineStr">
        <is>
          <t>Ожидаемый результат</t>
        </is>
      </c>
      <c r="F1" s="1" t="inlineStr">
        <is>
          <t>Статус</t>
        </is>
      </c>
      <c r="G1" s="1" t="inlineStr">
        <is>
          <t>Фактический результат</t>
        </is>
      </c>
      <c r="H1" s="1" t="inlineStr">
        <is>
          <t>Bug ID / ссылка</t>
        </is>
      </c>
      <c r="I1" s="1" t="inlineStr">
        <is>
          <t>Комментарий</t>
        </is>
      </c>
    </row>
    <row r="2" ht="42" customHeight="1" s="10">
      <c r="A2" s="2" t="inlineStr">
        <is>
          <t>CHK-001</t>
        </is>
      </c>
      <c r="B2" s="3" t="inlineStr">
        <is>
          <t>TS-01</t>
        </is>
      </c>
      <c r="C2" s="3" t="inlineStr">
        <is>
          <t>Установка и первый запуск</t>
        </is>
      </c>
      <c r="D2" s="3" t="inlineStr">
        <is>
          <t>Установить приложение из утверждённого QA-источника</t>
        </is>
      </c>
      <c r="E2" s="3" t="inlineStr">
        <is>
          <t>Установка завершается без ошибки.</t>
        </is>
      </c>
      <c r="F2" s="11" t="inlineStr">
        <is>
          <t>Пройден</t>
        </is>
      </c>
      <c r="G2" s="3" t="inlineStr">
        <is>
          <t>Приложение установлено без ошибок</t>
        </is>
      </c>
      <c r="H2" s="3" t="n"/>
      <c r="I2" s="3" t="n"/>
    </row>
    <row r="3" ht="42" customHeight="1" s="10">
      <c r="A3" s="2" t="inlineStr">
        <is>
          <t>CHK-002</t>
        </is>
      </c>
      <c r="B3" s="3" t="inlineStr">
        <is>
          <t>TS-01</t>
        </is>
      </c>
      <c r="C3" s="3" t="inlineStr">
        <is>
          <t>Установка и первый запуск</t>
        </is>
      </c>
      <c r="D3" s="3" t="inlineStr">
        <is>
          <t>Запустить приложение впервые</t>
        </is>
      </c>
      <c r="E3" s="3" t="inlineStr">
        <is>
          <t>Приложение открывается и показывает ожидаемый стартовый экран.</t>
        </is>
      </c>
      <c r="F3" s="11" t="inlineStr">
        <is>
          <t>Пройден</t>
        </is>
      </c>
      <c r="G3" s="3" t="inlineStr">
        <is>
          <t>Приложение открывается, ожидаемый стартовый экран отображается</t>
        </is>
      </c>
      <c r="H3" s="3" t="n"/>
      <c r="I3" s="3" t="n"/>
    </row>
    <row r="4" ht="42" customHeight="1" s="10">
      <c r="A4" s="2" t="inlineStr">
        <is>
          <t>CHK-003</t>
        </is>
      </c>
      <c r="B4" s="3" t="inlineStr">
        <is>
          <t>TS-01</t>
        </is>
      </c>
      <c r="C4" s="3" t="inlineStr">
        <is>
          <t>Установка и первый запуск</t>
        </is>
      </c>
      <c r="D4" s="3" t="inlineStr">
        <is>
          <t>Закрыть и повторно открыть приложение</t>
        </is>
      </c>
      <c r="E4" s="3" t="inlineStr">
        <is>
          <t>Приложение запускается корректно.</t>
        </is>
      </c>
      <c r="F4" s="11" t="inlineStr">
        <is>
          <t>Пройден</t>
        </is>
      </c>
      <c r="G4" s="3" t="inlineStr">
        <is>
          <t>Приложение запускается корректно.</t>
        </is>
      </c>
      <c r="H4" s="3" t="n"/>
      <c r="I4" s="3" t="n"/>
    </row>
    <row r="5" ht="42" customHeight="1" s="10">
      <c r="A5" s="2" t="inlineStr">
        <is>
          <t>CHK-004</t>
        </is>
      </c>
      <c r="B5" s="3" t="inlineStr">
        <is>
          <t>TS-01</t>
        </is>
      </c>
      <c r="C5" s="3" t="inlineStr">
        <is>
          <t>Установка и первый запуск</t>
        </is>
      </c>
      <c r="D5" s="3" t="inlineStr">
        <is>
          <t>Удалить приложение</t>
        </is>
      </c>
      <c r="E5" s="3" t="inlineStr">
        <is>
          <t>Приложение удаляется без ошибки.</t>
        </is>
      </c>
      <c r="F5" s="11" t="inlineStr">
        <is>
          <t>Пройден</t>
        </is>
      </c>
      <c r="G5" s="3" t="inlineStr">
        <is>
          <t>Приложение удаляется без ошибки.</t>
        </is>
      </c>
      <c r="H5" s="3" t="n"/>
      <c r="I5" s="3" t="n"/>
    </row>
    <row r="6" ht="42" customHeight="1" s="10">
      <c r="A6" s="2" t="inlineStr">
        <is>
          <t>CHK-005</t>
        </is>
      </c>
      <c r="B6" s="3" t="inlineStr">
        <is>
          <t>TS-01</t>
        </is>
      </c>
      <c r="C6" s="3" t="inlineStr">
        <is>
          <t>Установка и первый запуск</t>
        </is>
      </c>
      <c r="D6" s="3" t="inlineStr">
        <is>
          <t>Повторно установить приложение</t>
        </is>
      </c>
      <c r="E6" s="3" t="inlineStr">
        <is>
          <t>Приложение доступно для настройки после переустановки.</t>
        </is>
      </c>
      <c r="F6" s="11" t="inlineStr">
        <is>
          <t>Пройден</t>
        </is>
      </c>
      <c r="G6" s="3" t="inlineStr">
        <is>
          <t>Приложение устанавливается, данные повторно успешно добавлены</t>
        </is>
      </c>
      <c r="H6" s="3" t="n"/>
      <c r="I6" s="3" t="n"/>
    </row>
    <row r="7" ht="42" customHeight="1" s="10">
      <c r="A7" s="2" t="inlineStr">
        <is>
          <t>CHK-006</t>
        </is>
      </c>
      <c r="B7" s="3" t="inlineStr">
        <is>
          <t>TS-01</t>
        </is>
      </c>
      <c r="C7" s="3" t="inlineStr">
        <is>
          <t>Установка и первый запуск</t>
        </is>
      </c>
      <c r="D7" s="3" t="inlineStr">
        <is>
          <t>Проверить поведение после обновления поверх предыдущей версии</t>
        </is>
      </c>
      <c r="E7" s="3" t="inlineStr">
        <is>
          <t>Данные и состояние обрабатываются согласно требованиям; сценарий требует подтверждения.</t>
        </is>
      </c>
      <c r="F7" s="11" t="inlineStr">
        <is>
          <t>Пройден</t>
        </is>
      </c>
      <c r="G7" s="3" t="inlineStr">
        <is>
          <t>Данные и состояние обрабатываются согласно требованиям.</t>
        </is>
      </c>
      <c r="H7" s="3" t="n"/>
      <c r="I7" s="3" t="n"/>
    </row>
    <row r="8" ht="42" customHeight="1" s="10">
      <c r="A8" s="2" t="inlineStr">
        <is>
          <t>CHK-007</t>
        </is>
      </c>
      <c r="B8" s="3" t="inlineStr">
        <is>
          <t>TS-02</t>
        </is>
      </c>
      <c r="C8" s="3" t="inlineStr">
        <is>
          <t>Привязка карты и управление картами</t>
        </is>
      </c>
      <c r="D8" s="3" t="inlineStr">
        <is>
          <t>Добавить карту МИР сканированием при первом запуске</t>
        </is>
      </c>
      <c r="E8" s="3" t="inlineStr">
        <is>
          <t>Карта распознаётся, доступен следующий шаг.</t>
        </is>
      </c>
      <c r="F8" s="11" t="inlineStr">
        <is>
          <t>Не пройден</t>
        </is>
      </c>
      <c r="G8" s="3" t="inlineStr">
        <is>
          <t>При добавлении карты МИР не появляется ошибка о карте другой платёжной системы; карта проходит ожидаемый сценарий.</t>
        </is>
      </c>
      <c r="H8" s="14" t="inlineStr">
        <is>
          <t>BR-001</t>
        </is>
      </c>
      <c r="I8" s="3" t="n"/>
    </row>
    <row r="9" ht="42" customHeight="1" s="10">
      <c r="A9" s="2" t="inlineStr">
        <is>
          <t>CHK-008</t>
        </is>
      </c>
      <c r="B9" s="3" t="inlineStr">
        <is>
          <t>TS-02</t>
        </is>
      </c>
      <c r="C9" s="3" t="inlineStr">
        <is>
          <t>Привязка карты и управление картами</t>
        </is>
      </c>
      <c r="D9" s="3" t="inlineStr">
        <is>
          <t>Добавить карту вручную</t>
        </is>
      </c>
      <c r="E9" s="3" t="inlineStr">
        <is>
          <t>Поля принимают корректные тестовые данные.</t>
        </is>
      </c>
      <c r="F9" s="11" t="inlineStr">
        <is>
          <t>Пройден</t>
        </is>
      </c>
      <c r="G9" s="3" t="inlineStr">
        <is>
          <t>Поля принимают корректные тестовые данные.</t>
        </is>
      </c>
      <c r="H9" s="3" t="n"/>
      <c r="I9" s="3" t="n"/>
    </row>
    <row r="10" ht="42" customHeight="1" s="10">
      <c r="A10" s="2" t="inlineStr">
        <is>
          <t>CHK-009</t>
        </is>
      </c>
      <c r="B10" s="3" t="inlineStr">
        <is>
          <t>TS-02</t>
        </is>
      </c>
      <c r="C10" s="3" t="inlineStr">
        <is>
          <t>Привязка карты и управление картами</t>
        </is>
      </c>
      <c r="D10" s="3" t="inlineStr">
        <is>
          <t>Ввести некорректный номер карты</t>
        </is>
      </c>
      <c r="E10" s="3" t="inlineStr">
        <is>
          <t>Появляется понятное сообщение об ошибке, всплывающее окно закрывается по нажатию на кнопку "х" или нажатием вне поля</t>
        </is>
      </c>
      <c r="F10" s="12" t="inlineStr">
        <is>
          <t>Не пройден</t>
        </is>
      </c>
      <c r="G10" s="3" t="inlineStr">
        <is>
          <t>При вводе невалидных данных появляется сообщение об ошибке; модальное окно можно закрыть предусмотренным способом.</t>
        </is>
      </c>
      <c r="H10" s="14" t="inlineStr">
        <is>
          <t>BR-002</t>
        </is>
      </c>
      <c r="I10" s="3" t="n"/>
    </row>
    <row r="11" ht="42" customHeight="1" s="10">
      <c r="A11" s="2" t="inlineStr">
        <is>
          <t>CHK-010</t>
        </is>
      </c>
      <c r="B11" s="3" t="inlineStr">
        <is>
          <t>TS-02</t>
        </is>
      </c>
      <c r="C11" s="3" t="inlineStr">
        <is>
          <t>Привязка карты и управление картами</t>
        </is>
      </c>
      <c r="D11" s="3" t="inlineStr">
        <is>
          <t>Проверить ввод CVV/CVC при добавлении карты</t>
        </is>
      </c>
      <c r="E11" s="3" t="inlineStr">
        <is>
          <t>Поле CVV/CVC доступно в предусмотренном сценарии; при некорректных данных пользователь получает понятную обратную связь.</t>
        </is>
      </c>
      <c r="F11" s="12" t="inlineStr">
        <is>
          <t>Не пройден</t>
        </is>
      </c>
      <c r="G11" s="3" t="inlineStr">
        <is>
          <t>Поле CVV/CVC не активируется по нажатию, понятное сообщение отсутствует.</t>
        </is>
      </c>
      <c r="H11" s="14" t="inlineStr">
        <is>
          <t>BR-005</t>
        </is>
      </c>
      <c r="I11" s="3" t="n"/>
    </row>
    <row r="12" ht="42" customHeight="1" s="10">
      <c r="A12" s="2" t="inlineStr">
        <is>
          <t>CHK-011</t>
        </is>
      </c>
      <c r="B12" s="3" t="inlineStr">
        <is>
          <t>TS-02</t>
        </is>
      </c>
      <c r="C12" s="3" t="inlineStr">
        <is>
          <t>Привязка карты и управление картами</t>
        </is>
      </c>
      <c r="D12" s="3" t="inlineStr">
        <is>
          <t>Отказать камере в разрешении при сканировании</t>
        </is>
      </c>
      <c r="E12" s="3" t="inlineStr">
        <is>
          <t>Приложение корректно обрабатывает отказ и объясняет доступную альтернативу.</t>
        </is>
      </c>
      <c r="F12" s="11" t="inlineStr">
        <is>
          <t>Пройден</t>
        </is>
      </c>
      <c r="G12" s="3" t="inlineStr">
        <is>
          <t>Приложение корректно обрабатывает отказ и объясняет доступную альтернативу.</t>
        </is>
      </c>
      <c r="H12" s="3" t="n"/>
      <c r="I12" s="3" t="n"/>
    </row>
    <row r="13" ht="42" customHeight="1" s="10">
      <c r="A13" s="2" t="inlineStr">
        <is>
          <t>CHK-012</t>
        </is>
      </c>
      <c r="B13" s="3" t="inlineStr">
        <is>
          <t>TS-02</t>
        </is>
      </c>
      <c r="C13" s="3" t="inlineStr">
        <is>
          <t>Привязка карты и управление картами</t>
        </is>
      </c>
      <c r="D13" s="3" t="inlineStr">
        <is>
          <t>Выбрать карту по умолчанию</t>
        </is>
      </c>
      <c r="E13" s="3" t="inlineStr">
        <is>
          <t>Выбор сохраняется согласно требованиям.</t>
        </is>
      </c>
      <c r="F13" s="11" t="inlineStr">
        <is>
          <t>Пройден</t>
        </is>
      </c>
      <c r="G13" s="3" t="inlineStr">
        <is>
          <t>Выбор сохраняется согласно требованиям.</t>
        </is>
      </c>
      <c r="H13" s="3" t="n"/>
      <c r="I13" s="3" t="n"/>
    </row>
    <row r="14" ht="42" customHeight="1" s="10">
      <c r="A14" s="2" t="inlineStr">
        <is>
          <t>CHK-013</t>
        </is>
      </c>
      <c r="B14" s="3" t="inlineStr">
        <is>
          <t>TS-02</t>
        </is>
      </c>
      <c r="C14" s="3" t="inlineStr">
        <is>
          <t>Привязка карты и управление картами</t>
        </is>
      </c>
      <c r="D14" s="3" t="inlineStr">
        <is>
          <t>Перезапустить приложение после выбора карты</t>
        </is>
      </c>
      <c r="E14" s="3" t="inlineStr">
        <is>
          <t>Выбранная карта отображается согласно правилам сохранения.</t>
        </is>
      </c>
      <c r="F14" s="11" t="inlineStr">
        <is>
          <t>Пройден</t>
        </is>
      </c>
      <c r="G14" s="3" t="inlineStr">
        <is>
          <t>Выбранная карта отображается согласно правилам сохранения.</t>
        </is>
      </c>
      <c r="H14" s="3" t="n"/>
      <c r="I14" s="3" t="n"/>
    </row>
    <row r="15" ht="42" customHeight="1" s="10">
      <c r="A15" s="2" t="inlineStr">
        <is>
          <t>CHK-014</t>
        </is>
      </c>
      <c r="B15" s="3" t="inlineStr">
        <is>
          <t>TS-03</t>
        </is>
      </c>
      <c r="C15" s="3" t="inlineStr">
        <is>
          <t>NFC-оплата</t>
        </is>
      </c>
      <c r="D15" s="3" t="inlineStr">
        <is>
          <t>Выполнить оплату при включённом NFC и подготовленной тестовой карте</t>
        </is>
      </c>
      <c r="E15" s="3" t="inlineStr">
        <is>
          <t>Результат операции подтверждён, операция появилась в истории платежей.</t>
        </is>
      </c>
      <c r="F15" s="11" t="inlineStr">
        <is>
          <t>Пройден</t>
        </is>
      </c>
      <c r="G15" s="3" t="inlineStr">
        <is>
          <t>Результат операции подтверждён, операция появилась в истории платежей.</t>
        </is>
      </c>
      <c r="H15" s="3" t="n"/>
      <c r="I15" s="3" t="n"/>
    </row>
    <row r="16" ht="42" customHeight="1" s="10">
      <c r="A16" s="2" t="inlineStr">
        <is>
          <t>CHK-015</t>
        </is>
      </c>
      <c r="B16" s="3" t="inlineStr">
        <is>
          <t>TS-03</t>
        </is>
      </c>
      <c r="C16" s="3" t="inlineStr">
        <is>
          <t>NFC-оплата</t>
        </is>
      </c>
      <c r="D16" s="3" t="inlineStr">
        <is>
          <t>Попытаться оплатить при выключенном NFC</t>
        </is>
      </c>
      <c r="E16" s="3" t="inlineStr">
        <is>
          <t>Пользователь получает понятное сообщение или инструкцию.</t>
        </is>
      </c>
      <c r="F16" s="11" t="inlineStr">
        <is>
          <t>Пройден</t>
        </is>
      </c>
      <c r="G16" s="3" t="inlineStr">
        <is>
          <t>Пользователь получает понятное сообщение или инструкцию.</t>
        </is>
      </c>
      <c r="H16" s="3" t="n"/>
      <c r="I16" s="3" t="n"/>
    </row>
    <row r="17" ht="42" customHeight="1" s="10">
      <c r="A17" s="2" t="inlineStr">
        <is>
          <t>CHK-016</t>
        </is>
      </c>
      <c r="B17" s="3" t="inlineStr">
        <is>
          <t>TS-03</t>
        </is>
      </c>
      <c r="C17" s="3" t="inlineStr">
        <is>
          <t>NFC-оплата</t>
        </is>
      </c>
      <c r="D17" s="3" t="inlineStr">
        <is>
          <t>Проверить оплату при заблокированном экране</t>
        </is>
      </c>
      <c r="E17" s="3" t="inlineStr">
        <is>
          <t>Поведение соответствует требованиям безопасности; требуется подтверждение действий.</t>
        </is>
      </c>
      <c r="F17" s="11" t="inlineStr">
        <is>
          <t>Пройден</t>
        </is>
      </c>
      <c r="G17" s="3" t="inlineStr">
        <is>
          <t>Приложение требует подтверждение действий.</t>
        </is>
      </c>
      <c r="H17" s="3" t="n"/>
      <c r="I17" s="3" t="n"/>
    </row>
    <row r="18" ht="42" customHeight="1" s="10">
      <c r="A18" s="2" t="inlineStr">
        <is>
          <t>CHK-017</t>
        </is>
      </c>
      <c r="B18" s="3" t="inlineStr">
        <is>
          <t>TS-03</t>
        </is>
      </c>
      <c r="C18" s="3" t="inlineStr">
        <is>
          <t>NFC-оплата</t>
        </is>
      </c>
      <c r="D18" s="3" t="inlineStr">
        <is>
          <t>Проверить, какая карта используется для оплаты</t>
        </is>
      </c>
      <c r="E18" s="3" t="inlineStr">
        <is>
          <t>Используется карта, выбранная по правилам приложения и ОС.</t>
        </is>
      </c>
      <c r="F18" s="11" t="inlineStr">
        <is>
          <t>Пройден</t>
        </is>
      </c>
      <c r="G18" s="3" t="inlineStr">
        <is>
          <t>Используется карта, выбранная по правилам приложения и ОС.</t>
        </is>
      </c>
      <c r="H18" s="3" t="n"/>
      <c r="I18" s="3" t="n"/>
    </row>
    <row r="19" ht="42" customHeight="1" s="10">
      <c r="A19" s="2" t="inlineStr">
        <is>
          <t>CHK-018</t>
        </is>
      </c>
      <c r="B19" s="3" t="inlineStr">
        <is>
          <t>TS-03</t>
        </is>
      </c>
      <c r="C19" s="3" t="inlineStr">
        <is>
          <t>NFC-оплата</t>
        </is>
      </c>
      <c r="D19" s="3" t="inlineStr">
        <is>
          <t>Сверить статус операции при нулевом балансе</t>
        </is>
      </c>
      <c r="E19" s="3" t="inlineStr">
        <is>
          <t>Статус в MIR Pay соответствует результату, подтверждённому банком/эквайером или утверждённым QA-источником.</t>
        </is>
      </c>
      <c r="F19" s="11" t="inlineStr">
        <is>
          <t>Не пройден</t>
        </is>
      </c>
      <c r="G19" s="3" t="inlineStr">
        <is>
          <t>В истории приложения отображается сообщение об успешной оплате при нулевом балансе; фактический статус операции требует независимой сверки.</t>
        </is>
      </c>
      <c r="H19" s="14" t="inlineStr">
        <is>
          <t>BR-006</t>
        </is>
      </c>
      <c r="I19" s="3" t="n"/>
    </row>
    <row r="20" ht="42" customHeight="1" s="10">
      <c r="A20" s="2" t="inlineStr">
        <is>
          <t>CHK-019</t>
        </is>
      </c>
      <c r="B20" s="3" t="inlineStr">
        <is>
          <t>TS-03</t>
        </is>
      </c>
      <c r="C20" s="3" t="inlineStr">
        <is>
          <t>NFC-оплата</t>
        </is>
      </c>
      <c r="D20" s="3" t="inlineStr">
        <is>
          <t>Проверить отображение ошибки при отказе платёжной операции</t>
        </is>
      </c>
      <c r="E20" s="3" t="inlineStr">
        <is>
          <t>Отказ отображается корректно, всплывает сообщение об ошибке.</t>
        </is>
      </c>
      <c r="F20" s="11" t="inlineStr">
        <is>
          <t>Пройден</t>
        </is>
      </c>
      <c r="G20" s="3" t="inlineStr">
        <is>
          <t>Отказ отображается корректно, всплывает сообщение об ошибке.</t>
        </is>
      </c>
      <c r="H20" s="3" t="n"/>
      <c r="I20" s="3" t="n"/>
    </row>
    <row r="21" ht="42" customHeight="1" s="10">
      <c r="A21" s="2" t="inlineStr">
        <is>
          <t>CHK-020</t>
        </is>
      </c>
      <c r="B21" s="3" t="inlineStr">
        <is>
          <t>TS-04</t>
        </is>
      </c>
      <c r="C21" s="3" t="inlineStr">
        <is>
          <t>Сеть и прерывания</t>
        </is>
      </c>
      <c r="D21" s="3" t="inlineStr">
        <is>
          <t>Отключить интернет до запуска сценария привязки карты</t>
        </is>
      </c>
      <c r="E21" s="3" t="inlineStr">
        <is>
          <t>Приложение корректно сообщает о сетевой проблеме.</t>
        </is>
      </c>
      <c r="F21" s="11" t="inlineStr">
        <is>
          <t>Пройден</t>
        </is>
      </c>
      <c r="G21" s="3" t="inlineStr">
        <is>
          <t>Приложение сообщает о проблеме с сетью</t>
        </is>
      </c>
      <c r="H21" s="3" t="n"/>
      <c r="I21" s="3" t="n"/>
    </row>
    <row r="22" ht="42" customHeight="1" s="10">
      <c r="A22" s="2" t="inlineStr">
        <is>
          <t>CHK-021</t>
        </is>
      </c>
      <c r="B22" s="3" t="inlineStr">
        <is>
          <t>TS-04</t>
        </is>
      </c>
      <c r="C22" s="3" t="inlineStr">
        <is>
          <t>Сеть и прерывания</t>
        </is>
      </c>
      <c r="D22" s="3" t="inlineStr">
        <is>
          <t>Переключить Wi-Fi на мобильную сеть</t>
        </is>
      </c>
      <c r="E22" s="3" t="inlineStr">
        <is>
          <t>Приложение сохраняет работоспособность или сообщает о проблеме.</t>
        </is>
      </c>
      <c r="F22" s="12" t="inlineStr">
        <is>
          <t>Не пройден</t>
        </is>
      </c>
      <c r="G22" s="3" t="inlineStr">
        <is>
          <t>При переключении сети экран загрузки отображается около 2 минут.</t>
        </is>
      </c>
      <c r="H22" s="14" t="inlineStr">
        <is>
          <t>BR-004</t>
        </is>
      </c>
      <c r="I22" s="3" t="n"/>
    </row>
    <row r="23" ht="42" customHeight="1" s="10">
      <c r="A23" s="2" t="inlineStr">
        <is>
          <t>CHK-022</t>
        </is>
      </c>
      <c r="B23" s="3" t="inlineStr">
        <is>
          <t>TS-04</t>
        </is>
      </c>
      <c r="C23" s="3" t="inlineStr">
        <is>
          <t>Сеть и прерывания</t>
        </is>
      </c>
      <c r="D23" s="3" t="inlineStr">
        <is>
          <t>Переключить мобильную сеть на Wi-Fi</t>
        </is>
      </c>
      <c r="E23" s="3" t="inlineStr">
        <is>
          <t>Приложение корректно обрабатывает переключение.</t>
        </is>
      </c>
      <c r="F23" s="11" t="inlineStr">
        <is>
          <t>Пройден</t>
        </is>
      </c>
      <c r="G23" s="3" t="inlineStr">
        <is>
          <t>Приложение продолжает работу корректно</t>
        </is>
      </c>
      <c r="H23" s="3" t="n"/>
      <c r="I23" s="3" t="n"/>
    </row>
    <row r="24" ht="42" customHeight="1" s="10">
      <c r="A24" s="2" t="inlineStr">
        <is>
          <t>CHK-023</t>
        </is>
      </c>
      <c r="B24" s="3" t="inlineStr">
        <is>
          <t>TS-04</t>
        </is>
      </c>
      <c r="C24" s="3" t="inlineStr">
        <is>
          <t>Сеть и прерывания</t>
        </is>
      </c>
      <c r="D24" s="3" t="inlineStr">
        <is>
          <t>Получить входящий звонок во время работы приложения</t>
        </is>
      </c>
      <c r="E24" s="3" t="inlineStr">
        <is>
          <t>После звонка приложение работает корректно.</t>
        </is>
      </c>
      <c r="F24" s="11" t="inlineStr">
        <is>
          <t>Пройден</t>
        </is>
      </c>
      <c r="G24" s="3" t="inlineStr">
        <is>
          <t>После звонка приложение работает корректно.</t>
        </is>
      </c>
      <c r="H24" s="3" t="n"/>
      <c r="I24" s="3" t="n"/>
    </row>
    <row r="25" ht="42" customHeight="1" s="10">
      <c r="A25" s="2" t="inlineStr">
        <is>
          <t>CHK-024</t>
        </is>
      </c>
      <c r="B25" s="3" t="inlineStr">
        <is>
          <t>TS-04</t>
        </is>
      </c>
      <c r="C25" s="3" t="inlineStr">
        <is>
          <t>Сеть и прерывания</t>
        </is>
      </c>
      <c r="D25" s="3" t="inlineStr">
        <is>
          <t>Свернуть и вернуть приложение</t>
        </is>
      </c>
      <c r="E25" s="3" t="inlineStr">
        <is>
          <t>Состояние приложения восстанавливается корректно.</t>
        </is>
      </c>
      <c r="F25" s="11" t="inlineStr">
        <is>
          <t>Пройден</t>
        </is>
      </c>
      <c r="G25" s="3" t="inlineStr">
        <is>
          <t>Состояние приложения восстанавливается корректно.</t>
        </is>
      </c>
      <c r="H25" s="3" t="n"/>
      <c r="I25" s="3" t="n"/>
    </row>
    <row r="26" ht="42" customHeight="1" s="10">
      <c r="A26" s="2" t="inlineStr">
        <is>
          <t>CHK-025</t>
        </is>
      </c>
      <c r="B26" s="3" t="inlineStr">
        <is>
          <t>TS-04</t>
        </is>
      </c>
      <c r="C26" s="3" t="inlineStr">
        <is>
          <t>Сеть и прерывания</t>
        </is>
      </c>
      <c r="D26" s="3" t="inlineStr">
        <is>
          <t>Получить push-уведомление во время работы приложения</t>
        </is>
      </c>
      <c r="E26" s="3" t="inlineStr">
        <is>
          <t>Уведомление не нарушает работу текущего сценария.</t>
        </is>
      </c>
      <c r="F26" s="11" t="inlineStr">
        <is>
          <t>Пройден</t>
        </is>
      </c>
      <c r="G26" s="3" t="inlineStr">
        <is>
          <t>Уведомление не нарушает работу текущего сценария.</t>
        </is>
      </c>
      <c r="H26" s="3" t="n"/>
      <c r="I26" s="3" t="n"/>
    </row>
    <row r="27" ht="42" customHeight="1" s="10">
      <c r="A27" s="2" t="inlineStr">
        <is>
          <t>CHK-026</t>
        </is>
      </c>
      <c r="B27" s="3" t="inlineStr">
        <is>
          <t>TS-04</t>
        </is>
      </c>
      <c r="C27" s="3" t="inlineStr">
        <is>
          <t>Сеть и прерывания</t>
        </is>
      </c>
      <c r="D27" s="3" t="inlineStr">
        <is>
          <t>Потерять сеть во время операции</t>
        </is>
      </c>
      <c r="E27" s="3" t="inlineStr">
        <is>
          <t>Статус операции можно безопасно определить; повтор не выполняется до сверки статуса.</t>
        </is>
      </c>
      <c r="F27" s="11" t="inlineStr">
        <is>
          <t>Пройден</t>
        </is>
      </c>
      <c r="G27" s="3" t="inlineStr">
        <is>
          <t>Статус операции можно безопасно определить; повтор не выполняется до сверки статуса.</t>
        </is>
      </c>
      <c r="H27" s="3" t="n"/>
      <c r="I27" s="3" t="n"/>
    </row>
    <row r="28" ht="42" customHeight="1" s="10">
      <c r="A28" s="2" t="inlineStr">
        <is>
          <t>CHK-027</t>
        </is>
      </c>
      <c r="B28" s="3" t="inlineStr">
        <is>
          <t>TS-05</t>
        </is>
      </c>
      <c r="C28" s="3" t="inlineStr">
        <is>
          <t>UI и адаптация</t>
        </is>
      </c>
      <c r="D28" s="3" t="inlineStr">
        <is>
          <t>Проверить основные экраны на обрезание элементов</t>
        </is>
      </c>
      <c r="E28" s="3" t="inlineStr">
        <is>
          <t>Элементы отображаются корректно и доступны.</t>
        </is>
      </c>
      <c r="F28" s="11" t="inlineStr">
        <is>
          <t>Пройден</t>
        </is>
      </c>
      <c r="G28" s="3" t="inlineStr">
        <is>
          <t>Элементы отображаются корректно и доступны.</t>
        </is>
      </c>
      <c r="H28" s="3" t="n"/>
      <c r="I28" s="3" t="n"/>
    </row>
    <row r="29" ht="42" customHeight="1" s="10">
      <c r="A29" s="2" t="inlineStr">
        <is>
          <t>CHK-028</t>
        </is>
      </c>
      <c r="B29" s="3" t="inlineStr">
        <is>
          <t>TS-05</t>
        </is>
      </c>
      <c r="C29" s="3" t="inlineStr">
        <is>
          <t>UI и адаптация</t>
        </is>
      </c>
      <c r="D29" s="3" t="inlineStr">
        <is>
          <t>Проверить портретную ориентацию</t>
        </is>
      </c>
      <c r="E29" s="3" t="inlineStr">
        <is>
          <t>Контент не обрезан, элементы управления доступны.</t>
        </is>
      </c>
      <c r="F29" s="11" t="inlineStr">
        <is>
          <t>Пройден</t>
        </is>
      </c>
      <c r="G29" s="3" t="inlineStr">
        <is>
          <t>Контент не обрезан, элементы управления доступны.</t>
        </is>
      </c>
      <c r="H29" s="3" t="n"/>
      <c r="I29" s="3" t="n"/>
    </row>
    <row r="30" ht="42" customHeight="1" s="10">
      <c r="A30" s="2" t="inlineStr">
        <is>
          <t>CHK-029</t>
        </is>
      </c>
      <c r="B30" s="3" t="inlineStr">
        <is>
          <t>TS-05</t>
        </is>
      </c>
      <c r="C30" s="3" t="inlineStr">
        <is>
          <t>UI и адаптация</t>
        </is>
      </c>
      <c r="D30" s="3" t="inlineStr">
        <is>
          <t>Проверить альбомную ориентацию</t>
        </is>
      </c>
      <c r="E30" s="3" t="inlineStr">
        <is>
          <t>Поведение соответствует требованиям; если режим не поддерживается, интерфейс остаётся корректным.</t>
        </is>
      </c>
      <c r="F30" s="11" t="inlineStr">
        <is>
          <t>Пройден</t>
        </is>
      </c>
      <c r="G30" s="3" t="inlineStr">
        <is>
          <t>Интерфейс остаётся корректным</t>
        </is>
      </c>
      <c r="H30" s="3" t="n"/>
      <c r="I30" s="3" t="n"/>
    </row>
    <row r="31" ht="42" customHeight="1" s="10">
      <c r="A31" s="2" t="inlineStr">
        <is>
          <t>CHK-030</t>
        </is>
      </c>
      <c r="B31" s="3" t="inlineStr">
        <is>
          <t>TS-05</t>
        </is>
      </c>
      <c r="C31" s="3" t="inlineStr">
        <is>
          <t>UI и адаптация</t>
        </is>
      </c>
      <c r="D31" s="3" t="inlineStr">
        <is>
          <t>Проверить длинные сообщения об ошибках</t>
        </is>
      </c>
      <c r="E31" s="3" t="inlineStr">
        <is>
          <t>Текст читаем, кнопки доступны.</t>
        </is>
      </c>
      <c r="F31" s="11" t="inlineStr">
        <is>
          <t>Пройден</t>
        </is>
      </c>
      <c r="G31" s="3" t="inlineStr">
        <is>
          <t>Текст читаем, кнопки доступны.</t>
        </is>
      </c>
      <c r="H31" s="3" t="n"/>
      <c r="I31" s="3" t="n"/>
    </row>
    <row r="32" ht="42" customHeight="1" s="10">
      <c r="A32" s="2" t="inlineStr">
        <is>
          <t>CHK-031</t>
        </is>
      </c>
      <c r="B32" s="3" t="inlineStr">
        <is>
          <t>TS-05</t>
        </is>
      </c>
      <c r="C32" s="3" t="inlineStr">
        <is>
          <t>UI и адаптация</t>
        </is>
      </c>
      <c r="D32" s="3" t="inlineStr">
        <is>
          <t>Проверить системную кнопку «Назад»</t>
        </is>
      </c>
      <c r="E32" s="3" t="inlineStr">
        <is>
          <t>Навигация работает предсказуемо.</t>
        </is>
      </c>
      <c r="F32" s="11" t="inlineStr">
        <is>
          <t>Пройден</t>
        </is>
      </c>
      <c r="G32" s="3" t="inlineStr">
        <is>
          <t>Навигация работает предсказуемо, по нажатию приложение возвращает сценарий на шаг назад</t>
        </is>
      </c>
      <c r="H32" s="3" t="n"/>
      <c r="I32" s="3" t="n"/>
    </row>
    <row r="33" ht="42" customHeight="1" s="10">
      <c r="A33" s="2" t="inlineStr">
        <is>
          <t>CHK-032</t>
        </is>
      </c>
      <c r="B33" s="3" t="inlineStr">
        <is>
          <t>TS-05</t>
        </is>
      </c>
      <c r="C33" s="3" t="inlineStr">
        <is>
          <t>UI и адаптация</t>
        </is>
      </c>
      <c r="D33" s="3" t="inlineStr">
        <is>
          <t>Проверить масштабирование текста/размер шрифта системы</t>
        </is>
      </c>
      <c r="E33" s="3" t="inlineStr">
        <is>
          <t>Ключевые элементы остаются читаемыми и доступными.</t>
        </is>
      </c>
      <c r="F33" s="11" t="inlineStr">
        <is>
          <t>Пройден</t>
        </is>
      </c>
      <c r="G33" s="3" t="inlineStr">
        <is>
          <t>Ключевые элементы остаются читаемыми и доступными.</t>
        </is>
      </c>
      <c r="H33" s="3" t="n"/>
      <c r="I33" s="3" t="n"/>
    </row>
    <row r="34" ht="42" customHeight="1" s="10">
      <c r="A34" s="2" t="inlineStr">
        <is>
          <t>CHK-033</t>
        </is>
      </c>
      <c r="B34" s="3" t="inlineStr">
        <is>
          <t>TS-06</t>
        </is>
      </c>
      <c r="C34" s="3" t="inlineStr">
        <is>
          <t>Разрешения</t>
        </is>
      </c>
      <c r="D34" s="3" t="inlineStr">
        <is>
          <t>Разрешить доступ к камере</t>
        </is>
      </c>
      <c r="E34" s="3" t="inlineStr">
        <is>
          <t>Камера доступна для сканирования карты.</t>
        </is>
      </c>
      <c r="F34" s="11" t="inlineStr">
        <is>
          <t>Пройден</t>
        </is>
      </c>
      <c r="G34" s="3" t="inlineStr">
        <is>
          <t>Камера доступна для сканирования карты.</t>
        </is>
      </c>
      <c r="H34" s="3" t="n"/>
      <c r="I34" s="3" t="n"/>
    </row>
    <row r="35" ht="42" customHeight="1" s="10">
      <c r="A35" s="2" t="inlineStr">
        <is>
          <t>CHK-034</t>
        </is>
      </c>
      <c r="B35" s="3" t="inlineStr">
        <is>
          <t>TS-06</t>
        </is>
      </c>
      <c r="C35" s="3" t="inlineStr">
        <is>
          <t>Разрешения</t>
        </is>
      </c>
      <c r="D35" s="3" t="inlineStr">
        <is>
          <t>Запретить доступ к камере</t>
        </is>
      </c>
      <c r="E35" s="3" t="inlineStr">
        <is>
          <t>Отказ не приводит к падению; доступна ручная альтернатива, если предусмотрена.</t>
        </is>
      </c>
      <c r="F35" s="11" t="inlineStr">
        <is>
          <t>Пройден</t>
        </is>
      </c>
      <c r="G35" s="3" t="inlineStr">
        <is>
          <t>Отказ не приводит к падению; доступна ручная альтернатива, предлагается иной сценарий (добавление карты вручную)</t>
        </is>
      </c>
      <c r="H35" s="3" t="n"/>
      <c r="I35" s="3" t="n"/>
    </row>
    <row r="36" ht="42" customHeight="1" s="10">
      <c r="A36" s="2" t="inlineStr">
        <is>
          <t>CHK-035</t>
        </is>
      </c>
      <c r="B36" s="3" t="inlineStr">
        <is>
          <t>TS-06</t>
        </is>
      </c>
      <c r="C36" s="3" t="inlineStr">
        <is>
          <t>Разрешения</t>
        </is>
      </c>
      <c r="D36" s="3" t="inlineStr">
        <is>
          <t>Изменить разрешение камеры в настройках Android</t>
        </is>
      </c>
      <c r="E36" s="3" t="inlineStr">
        <is>
          <t>Приложение корректно реагирует на изменение разрешения.</t>
        </is>
      </c>
      <c r="F36" s="11" t="inlineStr">
        <is>
          <t>Пройден</t>
        </is>
      </c>
      <c r="G36" s="3" t="inlineStr">
        <is>
          <t>Приложение корректно реагирует на изменение разрешения.</t>
        </is>
      </c>
      <c r="H36" s="3" t="n"/>
      <c r="I36" s="3" t="n"/>
    </row>
    <row r="37" ht="42" customHeight="1" s="10">
      <c r="A37" s="2" t="inlineStr">
        <is>
          <t>CHK-036</t>
        </is>
      </c>
      <c r="B37" s="3" t="inlineStr">
        <is>
          <t>TS-06</t>
        </is>
      </c>
      <c r="C37" s="3" t="inlineStr">
        <is>
          <t>Разрешения</t>
        </is>
      </c>
      <c r="D37" s="3" t="inlineStr">
        <is>
          <t>Проверить запросы разрешений при первом запуске</t>
        </is>
      </c>
      <c r="E37" s="3" t="inlineStr">
        <is>
          <t>Запрашиваются только необходимые для сценария разрешения.</t>
        </is>
      </c>
      <c r="F37" s="11" t="inlineStr">
        <is>
          <t>Пройден</t>
        </is>
      </c>
      <c r="G37" s="3" t="inlineStr">
        <is>
          <t>Запрашиваются только необходимые для сценария разрешения.</t>
        </is>
      </c>
      <c r="H37" s="3" t="n"/>
      <c r="I37" s="3" t="n"/>
    </row>
    <row r="38" ht="42" customHeight="1" s="10">
      <c r="A38" s="2" t="inlineStr">
        <is>
          <t>CHK-037</t>
        </is>
      </c>
      <c r="B38" s="3" t="inlineStr">
        <is>
          <t>TS-07</t>
        </is>
      </c>
      <c r="C38" s="3" t="inlineStr">
        <is>
          <t>Безопасность и обработка ошибок</t>
        </is>
      </c>
      <c r="D38" s="3" t="inlineStr">
        <is>
          <t>Передать некорректные данные в доступные поля</t>
        </is>
      </c>
      <c r="E38" s="3" t="inlineStr">
        <is>
          <t>Нет падения; сообщение об ошибке понятно.</t>
        </is>
      </c>
      <c r="F38" s="11" t="inlineStr">
        <is>
          <t>Пройден</t>
        </is>
      </c>
      <c r="G38" s="3" t="inlineStr">
        <is>
          <t>Нет падения; сообщение об ошибке понятно.</t>
        </is>
      </c>
      <c r="H38" s="3" t="n"/>
      <c r="I38" s="3" t="n"/>
    </row>
    <row r="39" ht="42" customHeight="1" s="10">
      <c r="A39" s="2" t="inlineStr">
        <is>
          <t>CHK-038</t>
        </is>
      </c>
      <c r="B39" s="3" t="inlineStr">
        <is>
          <t>TS-07</t>
        </is>
      </c>
      <c r="C39" s="3" t="inlineStr">
        <is>
          <t>Безопасность и обработка ошибок</t>
        </is>
      </c>
      <c r="D39" s="3" t="inlineStr">
        <is>
          <t>Проверить сообщение при сетевом сбое</t>
        </is>
      </c>
      <c r="E39" s="3" t="inlineStr">
        <is>
          <t>Нет ложного сообщения об успешной оплате.</t>
        </is>
      </c>
      <c r="F39" s="11" t="inlineStr">
        <is>
          <t>Пройден</t>
        </is>
      </c>
      <c r="G39" s="3" t="inlineStr">
        <is>
          <t>Нет ложного сообщения об успешной оплате.</t>
        </is>
      </c>
      <c r="H39" s="3" t="n"/>
      <c r="I39" s="3" t="n"/>
    </row>
    <row r="40" ht="42" customHeight="1" s="10">
      <c r="A40" s="2" t="inlineStr">
        <is>
          <t>CHK-039</t>
        </is>
      </c>
      <c r="B40" s="3" t="inlineStr">
        <is>
          <t>TS-07</t>
        </is>
      </c>
      <c r="C40" s="3" t="inlineStr">
        <is>
          <t>Безопасность и обработка ошибок</t>
        </is>
      </c>
      <c r="D40" s="3" t="inlineStr">
        <is>
          <t>Проверить логи на наличие чувствительных данных</t>
        </is>
      </c>
      <c r="E40" s="3" t="inlineStr">
        <is>
          <t>Реальные PAN, CVV, PIN, OTP и токены не раскрываются.</t>
        </is>
      </c>
      <c r="F40" s="11" t="inlineStr">
        <is>
          <t>Пройден</t>
        </is>
      </c>
      <c r="G40" s="3" t="inlineStr">
        <is>
          <t>Реальные PAN, CVV, PIN, OTP и токены не раскрываются.</t>
        </is>
      </c>
      <c r="H40" s="3" t="n"/>
      <c r="I40" s="3" t="n"/>
    </row>
    <row r="41" ht="42" customHeight="1" s="10">
      <c r="A41" s="2" t="inlineStr">
        <is>
          <t>CHK-040</t>
        </is>
      </c>
      <c r="B41" s="3" t="inlineStr">
        <is>
          <t>TS-07</t>
        </is>
      </c>
      <c r="C41" s="3" t="inlineStr">
        <is>
          <t>Безопасность и обработка ошибок</t>
        </is>
      </c>
      <c r="D41" s="3" t="inlineStr">
        <is>
          <t>Повторить действие после ошибки</t>
        </is>
      </c>
      <c r="E41" s="3" t="inlineStr">
        <is>
          <t>Нет нежелательного дублирования операции; статус проверен перед повтором.</t>
        </is>
      </c>
      <c r="F41" s="11" t="inlineStr">
        <is>
          <t>Пройден</t>
        </is>
      </c>
      <c r="G41" s="3" t="inlineStr">
        <is>
          <t>Нет нежелательного дублирования операции; статус проверен перед повтором.</t>
        </is>
      </c>
      <c r="H41" s="3" t="n"/>
      <c r="I41" s="3" t="n"/>
    </row>
    <row r="42" ht="42" customHeight="1" s="10">
      <c r="A42" s="2" t="inlineStr">
        <is>
          <t>CHK-041</t>
        </is>
      </c>
      <c r="B42" s="3" t="inlineStr">
        <is>
          <t>TS-08</t>
        </is>
      </c>
      <c r="C42" s="3" t="inlineStr">
        <is>
          <t>Полная регрессия</t>
        </is>
      </c>
      <c r="D42" s="3" t="inlineStr">
        <is>
          <t>Повторно проверить запуск приложения</t>
        </is>
      </c>
      <c r="E42" s="3" t="inlineStr">
        <is>
          <t>Приложение запускается без ошибок после выполнения остальных сценариев.</t>
        </is>
      </c>
      <c r="F42" s="11" t="inlineStr">
        <is>
          <t>Пройден</t>
        </is>
      </c>
      <c r="G42" s="3" t="inlineStr">
        <is>
          <t>Приложение запускается без ошибок после выполнения остальных сценариев.</t>
        </is>
      </c>
      <c r="H42" s="3" t="n"/>
      <c r="I42" s="3" t="n"/>
    </row>
    <row r="43" ht="42" customHeight="1" s="10">
      <c r="A43" s="2" t="inlineStr">
        <is>
          <t>CHK-042</t>
        </is>
      </c>
      <c r="B43" s="3" t="inlineStr">
        <is>
          <t>TS-08</t>
        </is>
      </c>
      <c r="C43" s="3" t="inlineStr">
        <is>
          <t>Полная регрессия</t>
        </is>
      </c>
      <c r="D43" s="3" t="inlineStr">
        <is>
          <t>Повторно проверить привязку карты</t>
        </is>
      </c>
      <c r="E43" s="3" t="inlineStr">
        <is>
          <t>Сценарий привязки работает корректно.</t>
        </is>
      </c>
      <c r="F43" s="11" t="inlineStr">
        <is>
          <t>Пройден</t>
        </is>
      </c>
      <c r="G43" s="3" t="inlineStr">
        <is>
          <t>Сценарий привязки работает корректно.</t>
        </is>
      </c>
      <c r="H43" s="3" t="n"/>
      <c r="I43" s="3" t="n"/>
    </row>
    <row r="44" ht="42" customHeight="1" s="10">
      <c r="A44" s="2" t="inlineStr">
        <is>
          <t>CHK-043</t>
        </is>
      </c>
      <c r="B44" s="3" t="inlineStr">
        <is>
          <t>TS-08</t>
        </is>
      </c>
      <c r="C44" s="3" t="inlineStr">
        <is>
          <t>Полная регрессия</t>
        </is>
      </c>
      <c r="D44" s="3" t="inlineStr">
        <is>
          <t>Повторно проверить NFC-оплату</t>
        </is>
      </c>
      <c r="E44" s="3" t="inlineStr">
        <is>
          <t>Основной сценарий оплаты работает и статус подтверждён.</t>
        </is>
      </c>
      <c r="F44" s="11" t="inlineStr">
        <is>
          <t>Пройден</t>
        </is>
      </c>
      <c r="G44" s="3" t="inlineStr">
        <is>
          <t>Основной сценарий оплаты работает и статус подтверждён.</t>
        </is>
      </c>
      <c r="H44" s="3" t="n"/>
      <c r="I44" s="3" t="n"/>
    </row>
    <row r="45" ht="42" customHeight="1" s="10">
      <c r="A45" s="2" t="inlineStr">
        <is>
          <t>CHK-044</t>
        </is>
      </c>
      <c r="B45" s="3" t="inlineStr">
        <is>
          <t>TS-08</t>
        </is>
      </c>
      <c r="C45" s="3" t="inlineStr">
        <is>
          <t>Полная регрессия</t>
        </is>
      </c>
      <c r="D45" s="3" t="inlineStr">
        <is>
          <t>Повторно проверить выбор карты по умолчанию</t>
        </is>
      </c>
      <c r="E45" s="3" t="inlineStr">
        <is>
          <t>Выбор и поведение соответствуют требованиям.</t>
        </is>
      </c>
      <c r="F45" s="11" t="inlineStr">
        <is>
          <t>Пройден</t>
        </is>
      </c>
      <c r="G45" s="3" t="inlineStr">
        <is>
          <t>Выбор и поведение соответствуют требованиям.</t>
        </is>
      </c>
      <c r="H45" s="3" t="n"/>
      <c r="I45" s="3" t="n"/>
    </row>
    <row r="46" ht="42" customHeight="1" s="10">
      <c r="A46" s="2" t="inlineStr">
        <is>
          <t>CHK-045</t>
        </is>
      </c>
      <c r="B46" s="3" t="inlineStr">
        <is>
          <t>TS-08</t>
        </is>
      </c>
      <c r="C46" s="3" t="inlineStr">
        <is>
          <t>Полная регрессия</t>
        </is>
      </c>
      <c r="D46" s="3" t="inlineStr">
        <is>
          <t>Проверить приложение после серии прерываний</t>
        </is>
      </c>
      <c r="E46" s="3" t="inlineStr">
        <is>
          <t>Нет зависаний и критических ошибок.</t>
        </is>
      </c>
      <c r="F46" s="11" t="inlineStr">
        <is>
          <t>Пройден</t>
        </is>
      </c>
      <c r="G46" s="3" t="inlineStr">
        <is>
          <t>Нет зависаний и критических ошибок.</t>
        </is>
      </c>
      <c r="H46" s="3" t="n"/>
      <c r="I46" s="3" t="n"/>
    </row>
    <row r="47" ht="42" customHeight="1" s="10">
      <c r="A47" s="2" t="inlineStr">
        <is>
          <t>CHK-046</t>
        </is>
      </c>
      <c r="B47" s="3" t="inlineStr">
        <is>
          <t>TS-08</t>
        </is>
      </c>
      <c r="C47" s="3" t="inlineStr">
        <is>
          <t>Полная регрессия</t>
        </is>
      </c>
      <c r="D47" s="3" t="inlineStr">
        <is>
          <t>Проверить результаты и зарегистрировать дефекты</t>
        </is>
      </c>
      <c r="E47" s="3" t="inlineStr">
        <is>
          <t>Все результаты задокументированы, дефекты имеют ссылки на проверки.</t>
        </is>
      </c>
      <c r="F47" s="11" t="inlineStr">
        <is>
          <t>Пройден</t>
        </is>
      </c>
      <c r="G47" s="3" t="inlineStr">
        <is>
          <t>Все результаты задокументированы, дефекты имеют ссылки на проверки.</t>
        </is>
      </c>
      <c r="H47" s="3" t="n"/>
      <c r="I47" s="3" t="n"/>
    </row>
    <row r="48" ht="42" customHeight="1" s="10">
      <c r="A48" s="2" t="inlineStr">
        <is>
          <t>CHK-047</t>
        </is>
      </c>
      <c r="B48" s="3" t="inlineStr">
        <is>
          <t>TS-02</t>
        </is>
      </c>
      <c r="C48" s="3" t="inlineStr">
        <is>
          <t>Привязка карты и управление картами</t>
        </is>
      </c>
      <c r="D48" s="3" t="inlineStr">
        <is>
          <t>Нажать на замаскированный номер карты в разделе «Подробнее»</t>
        </is>
      </c>
      <c r="E48" s="3" t="inlineStr">
        <is>
          <t>Если раскрытие номера предусмотрено требованиями и политикой безопасности, номер отображается по нажатию; иначе поведение соответствует спецификации.</t>
        </is>
      </c>
      <c r="F48" s="11" t="inlineStr">
        <is>
          <t>Не пройден</t>
        </is>
      </c>
      <c r="G48" s="3" t="inlineStr">
        <is>
          <t>По нажатию на замаскированный номер реакции нет; требование к раскрытию полного номера нужно подтвердить.</t>
        </is>
      </c>
      <c r="H48" s="14" t="inlineStr">
        <is>
          <t>BR-003</t>
        </is>
      </c>
      <c r="I48" s="3" t="inlineStr">
        <is>
          <t>Оценка предварительная: сначала подтвердить ожидаемое поведение по требованиям безопасности.</t>
        </is>
      </c>
    </row>
  </sheetData>
  <autoFilter ref="A1:I48"/>
  <conditionalFormatting sqref="F2:F47">
    <cfRule type="expression" priority="1" dxfId="2">
      <formula>F2="Пройден"</formula>
    </cfRule>
    <cfRule type="expression" priority="2" dxfId="1">
      <formula>F2="Не пройден"</formula>
    </cfRule>
    <cfRule type="expression" priority="3" dxfId="0">
      <formula>F2="Заблокирован"</formula>
    </cfRule>
  </conditionalFormatting>
  <dataValidations count="1">
    <dataValidation sqref="F2:F47" showDropDown="0" showInputMessage="0" showErrorMessage="0" allowBlank="0" errorTitle="Недопустимый статус" error="Выберите статус из списка." promptTitle="Статус" prompt="Выберите статус выполнения проверки." type="list">
      <formula1>"Не выполнен,Пройден,Не пройден,Заблокирован,Не применимо"</formula1>
    </dataValidation>
  </dataValidations>
  <hyperlinks>
    <hyperlink xmlns:r="http://schemas.openxmlformats.org/officeDocument/2006/relationships" ref="H8" r:id="rId1"/>
    <hyperlink xmlns:r="http://schemas.openxmlformats.org/officeDocument/2006/relationships" ref="H10" r:id="rId2"/>
    <hyperlink xmlns:r="http://schemas.openxmlformats.org/officeDocument/2006/relationships" ref="H11" r:id="rId3"/>
    <hyperlink xmlns:r="http://schemas.openxmlformats.org/officeDocument/2006/relationships" ref="H19" r:id="rId4"/>
    <hyperlink xmlns:r="http://schemas.openxmlformats.org/officeDocument/2006/relationships" ref="H22" r:id="rId5"/>
    <hyperlink xmlns:r="http://schemas.openxmlformats.org/officeDocument/2006/relationships" ref="H48" r:id="rId6"/>
  </hyperlinks>
  <pageMargins left="0.25" right="0.25" top="1" bottom="1" header="0.5" footer="0.5"/>
  <pageSetup orientation="landscape" paperSize="9" fitToHeight="0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topLeftCell="E1" zoomScale="85" workbookViewId="0">
      <pane ySplit="1" topLeftCell="A2" activePane="bottomLeft" state="frozen"/>
      <selection pane="bottomLeft" activeCell="H8" sqref="H8"/>
    </sheetView>
  </sheetViews>
  <sheetFormatPr baseColWidth="8" defaultRowHeight="14.4"/>
  <cols>
    <col width="15" customWidth="1" style="10" min="1" max="1"/>
    <col width="14" customWidth="1" style="10" min="2" max="2"/>
    <col width="29" customWidth="1" style="10" min="3" max="3"/>
    <col width="34" customWidth="1" style="10" min="4" max="4"/>
    <col width="52" customWidth="1" style="10" min="5" max="5"/>
    <col width="28" customWidth="1" style="10" min="6" max="6"/>
    <col width="60" customWidth="1" style="10" min="7" max="8"/>
    <col width="18" customWidth="1" style="10" min="9" max="9"/>
    <col width="48" customWidth="1" style="10" min="10" max="10"/>
    <col width="22" customWidth="1" style="10" min="11" max="11"/>
    <col width="36" customWidth="1" style="10" min="12" max="12"/>
  </cols>
  <sheetData>
    <row r="1" ht="31.95" customHeight="1" s="10">
      <c r="A1" s="1" t="inlineStr">
        <is>
          <t>Test Case ID</t>
        </is>
      </c>
      <c r="B1" s="1" t="inlineStr">
        <is>
          <t>Test Suite ID</t>
        </is>
      </c>
      <c r="C1" s="1" t="inlineStr">
        <is>
          <t>Test Suite</t>
        </is>
      </c>
      <c r="D1" s="1" t="inlineStr">
        <is>
          <t>Название</t>
        </is>
      </c>
      <c r="E1" s="1" t="inlineStr">
        <is>
          <t>Предусловия</t>
        </is>
      </c>
      <c r="F1" s="1" t="inlineStr">
        <is>
          <t>Тестовые данные</t>
        </is>
      </c>
      <c r="G1" s="1" t="inlineStr">
        <is>
          <t>Шаги выполнения</t>
        </is>
      </c>
      <c r="H1" s="1" t="inlineStr">
        <is>
          <t>Ожидаемый результат</t>
        </is>
      </c>
      <c r="I1" s="1" t="inlineStr">
        <is>
          <t>Статус</t>
        </is>
      </c>
      <c r="J1" s="1" t="inlineStr">
        <is>
          <t>Фактический результат</t>
        </is>
      </c>
      <c r="K1" s="1" t="inlineStr">
        <is>
          <t>Bug ID / ссылка</t>
        </is>
      </c>
      <c r="L1" s="1" t="inlineStr">
        <is>
          <t>Примечания</t>
        </is>
      </c>
    </row>
    <row r="2" ht="72" customHeight="1" s="10">
      <c r="A2" s="2" t="inlineStr">
        <is>
          <t>TC-001</t>
        </is>
      </c>
      <c r="B2" s="3" t="inlineStr">
        <is>
          <t>TS-01</t>
        </is>
      </c>
      <c r="C2" s="3" t="inlineStr">
        <is>
          <t>Установка и запуск</t>
        </is>
      </c>
      <c r="D2" s="3" t="inlineStr">
        <is>
          <t>Установка приложения</t>
        </is>
      </c>
      <c r="E2" s="3" t="inlineStr">
        <is>
          <t>Устройство поддерживается; доступен утверждённый QA-дистрибутив.</t>
        </is>
      </c>
      <c r="F2" s="3" t="inlineStr">
        <is>
          <t>QA-сборка MIR Pay</t>
        </is>
      </c>
      <c r="G2" s="3" t="inlineStr">
        <is>
          <t>1. Открыть дистрибутив.
2. Запустить установку.
3. Дождаться завершения.</t>
        </is>
      </c>
      <c r="H2" s="3" t="inlineStr">
        <is>
          <t>Приложение установлено; Android не показывает ошибку установки.</t>
        </is>
      </c>
      <c r="I2" s="11" t="inlineStr">
        <is>
          <t>Пройден</t>
        </is>
      </c>
      <c r="J2" s="3" t="inlineStr">
        <is>
          <t>Установка прошла успешно</t>
        </is>
      </c>
      <c r="K2" s="3" t="n"/>
      <c r="L2" s="3" t="n"/>
    </row>
    <row r="3" ht="72" customHeight="1" s="10">
      <c r="A3" s="2" t="inlineStr">
        <is>
          <t>TC-002</t>
        </is>
      </c>
      <c r="B3" s="3" t="inlineStr">
        <is>
          <t>TS-01</t>
        </is>
      </c>
      <c r="C3" s="3" t="inlineStr">
        <is>
          <t>Установка и запуск</t>
        </is>
      </c>
      <c r="D3" s="3" t="inlineStr">
        <is>
          <t>Первый запуск</t>
        </is>
      </c>
      <c r="E3" s="3" t="inlineStr">
        <is>
          <t>Приложение установлено.</t>
        </is>
      </c>
      <c r="F3" s="3" t="inlineStr">
        <is>
          <t>—</t>
        </is>
      </c>
      <c r="G3" s="3" t="inlineStr">
        <is>
          <t>1. Нажать на иконку приложения.
2. Дождаться загрузки стартового экрана.</t>
        </is>
      </c>
      <c r="H3" s="3" t="inlineStr">
        <is>
          <t>Приложение запускается без падения; отображается ожидаемый экран.</t>
        </is>
      </c>
      <c r="I3" s="11" t="inlineStr">
        <is>
          <t>Пройден</t>
        </is>
      </c>
      <c r="J3" s="3" t="inlineStr">
        <is>
          <t>Приложение запускается без падения; отображается ожидаемый экран.</t>
        </is>
      </c>
      <c r="K3" s="3" t="n"/>
      <c r="L3" s="3" t="n"/>
    </row>
    <row r="4" ht="72" customHeight="1" s="10">
      <c r="A4" s="2" t="inlineStr">
        <is>
          <t>TC-003</t>
        </is>
      </c>
      <c r="B4" s="3" t="inlineStr">
        <is>
          <t>TS-01</t>
        </is>
      </c>
      <c r="C4" s="3" t="inlineStr">
        <is>
          <t>Установка и запуск</t>
        </is>
      </c>
      <c r="D4" s="3" t="inlineStr">
        <is>
          <t>Повторный запуск</t>
        </is>
      </c>
      <c r="E4" s="3" t="inlineStr">
        <is>
          <t>Приложение уже запускалось хотя бы один раз.</t>
        </is>
      </c>
      <c r="F4" s="3" t="inlineStr">
        <is>
          <t>—</t>
        </is>
      </c>
      <c r="G4" s="3" t="inlineStr">
        <is>
          <t>1. Закрыть приложение.
2. Запустить повторно.</t>
        </is>
      </c>
      <c r="H4" s="3" t="inlineStr">
        <is>
          <t>Приложение запускается корректно; состояние соответствует правилам приложения.</t>
        </is>
      </c>
      <c r="I4" s="11" t="inlineStr">
        <is>
          <t>Пройден</t>
        </is>
      </c>
      <c r="J4" s="3" t="inlineStr">
        <is>
          <t>Приложение запускается корректно; состояние соответствует правилам приложения.</t>
        </is>
      </c>
      <c r="K4" s="3" t="n"/>
      <c r="L4" s="3" t="n"/>
    </row>
    <row r="5" ht="72" customHeight="1" s="10">
      <c r="A5" s="2" t="inlineStr">
        <is>
          <t>TC-004</t>
        </is>
      </c>
      <c r="B5" s="3" t="inlineStr">
        <is>
          <t>TS-01</t>
        </is>
      </c>
      <c r="C5" s="3" t="inlineStr">
        <is>
          <t>Установка и запуск</t>
        </is>
      </c>
      <c r="D5" s="3" t="inlineStr">
        <is>
          <t>Удаление приложения</t>
        </is>
      </c>
      <c r="E5" s="3" t="inlineStr">
        <is>
          <t>Приложение установлено.</t>
        </is>
      </c>
      <c r="F5" s="3" t="inlineStr">
        <is>
          <t>—</t>
        </is>
      </c>
      <c r="G5" s="3" t="inlineStr">
        <is>
          <t>1. Открыть настройки Android.
2. Найти MIR Pay.
3. Удалить приложение.</t>
        </is>
      </c>
      <c r="H5" s="3" t="inlineStr">
        <is>
          <t>Приложение удалено; ОС не показывает ошибку.</t>
        </is>
      </c>
      <c r="I5" s="11" t="inlineStr">
        <is>
          <t>Пройден</t>
        </is>
      </c>
      <c r="J5" s="3" t="inlineStr">
        <is>
          <t>Приложение удалено; ОС не показывает ошибку.</t>
        </is>
      </c>
      <c r="K5" s="3" t="n"/>
      <c r="L5" s="3" t="n"/>
    </row>
    <row r="6" ht="72" customHeight="1" s="10">
      <c r="A6" s="2" t="inlineStr">
        <is>
          <t>TC-005</t>
        </is>
      </c>
      <c r="B6" s="3" t="inlineStr">
        <is>
          <t>TS-02</t>
        </is>
      </c>
      <c r="C6" s="3" t="inlineStr">
        <is>
          <t>Привязка карты</t>
        </is>
      </c>
      <c r="D6" s="3" t="inlineStr">
        <is>
          <t>Добавление карты МИР сканированием при первом запуске</t>
        </is>
      </c>
      <c r="E6" s="3" t="inlineStr">
        <is>
          <t>Камера доступна; разрешение выдано; подготовлена разрешённая тестовая карта.</t>
        </is>
      </c>
      <c r="F6" s="3" t="inlineStr">
        <is>
          <t>Карта банка, системы МИР *5678</t>
        </is>
      </c>
      <c r="G6" s="3" t="inlineStr">
        <is>
          <t>1. Запустить MIR Pay впервые.
2. Предоставить необходимые разрешения.
3. Начать добавление карты МИР способом сканирования, описанным в баг-репорте.
4. Зафиксировать результат.</t>
        </is>
      </c>
      <c r="H6" s="3" t="inlineStr">
        <is>
          <t>Карта МИР проходит ожидаемый сценарий добавления; не появляется сообщение о карте другой платёжной системы.</t>
        </is>
      </c>
      <c r="I6" s="11" t="inlineStr">
        <is>
          <t>Не пройден</t>
        </is>
      </c>
      <c r="J6" s="3" t="inlineStr">
        <is>
          <t>Появляется ошибка «Вы пытаетесь добавить карту отличную от системы МИР».</t>
        </is>
      </c>
      <c r="K6" s="14" t="inlineStr">
        <is>
          <t>BR-001</t>
        </is>
      </c>
      <c r="L6" s="3" t="n"/>
    </row>
    <row r="7" ht="72" customHeight="1" s="10">
      <c r="A7" s="2" t="inlineStr">
        <is>
          <t>TC-006</t>
        </is>
      </c>
      <c r="B7" s="3" t="inlineStr">
        <is>
          <t>TS-02</t>
        </is>
      </c>
      <c r="C7" s="3" t="inlineStr">
        <is>
          <t>Привязка карты</t>
        </is>
      </c>
      <c r="D7" s="3" t="inlineStr">
        <is>
          <t>Добавление карты вручную</t>
        </is>
      </c>
      <c r="E7" s="3" t="inlineStr">
        <is>
          <t>Открыт экран добавления карты; предоставлены разрешённые тестовые данные.</t>
        </is>
      </c>
      <c r="F7" s="3" t="inlineStr">
        <is>
          <t>Данные карты: номер, дата, СVV</t>
        </is>
      </c>
      <c r="G7" s="3" t="inlineStr">
        <is>
          <t>1. Выбрать ручной ввод.
2. Заполнить поля корректными тестовыми данными.
3. Нажать кнопку "Продолжить".</t>
        </is>
      </c>
      <c r="H7" s="3" t="inlineStr">
        <is>
          <t>Формат данных валиден; карта успешно добавляется, пользователь переходит к следующему ожидаемому шагу.</t>
        </is>
      </c>
      <c r="I7" s="11" t="inlineStr">
        <is>
          <t>Пройден</t>
        </is>
      </c>
      <c r="J7" s="3" t="inlineStr">
        <is>
          <t>Формат данных валиден; карта успешно добавляется, пользователь переходит к следующему ожидаемому шагу.</t>
        </is>
      </c>
      <c r="K7" s="3" t="n"/>
      <c r="L7" s="3" t="n"/>
    </row>
    <row r="8" ht="72" customHeight="1" s="10">
      <c r="A8" s="2" t="inlineStr">
        <is>
          <t>TC-007</t>
        </is>
      </c>
      <c r="B8" s="3" t="inlineStr">
        <is>
          <t>TS-02</t>
        </is>
      </c>
      <c r="C8" s="3" t="inlineStr">
        <is>
          <t>Привязка карты</t>
        </is>
      </c>
      <c r="D8" s="3" t="inlineStr">
        <is>
          <t>Валидация некорректного номера</t>
        </is>
      </c>
      <c r="E8" s="3" t="inlineStr">
        <is>
          <t>Открыт экран ручного ввода.</t>
        </is>
      </c>
      <c r="F8" s="3" t="inlineStr">
        <is>
          <t>Невалидный тестовый номер</t>
        </is>
      </c>
      <c r="G8" s="3" t="inlineStr">
        <is>
          <t>1. Ввести заведомо некорректный тестовый номер.
2. Попытаться продолжить.</t>
        </is>
      </c>
      <c r="H8" s="3" t="inlineStr">
        <is>
          <t>Показана ошибка валидации; приложение не падает и не принимает данные как корректные.</t>
        </is>
      </c>
      <c r="I8" s="3" t="inlineStr">
        <is>
          <t>Не пройден</t>
        </is>
      </c>
      <c r="J8" s="3" t="inlineStr">
        <is>
          <t>После ввода невалидных данных появляется модальное окно, которое не закрывается описанными способами.</t>
        </is>
      </c>
      <c r="K8" s="14" t="inlineStr">
        <is>
          <t>BR-002</t>
        </is>
      </c>
      <c r="L8" s="3" t="n"/>
    </row>
    <row r="9" ht="72" customHeight="1" s="10">
      <c r="A9" s="2" t="inlineStr">
        <is>
          <t>TC-008</t>
        </is>
      </c>
      <c r="B9" s="3" t="inlineStr">
        <is>
          <t>TS-02</t>
        </is>
      </c>
      <c r="C9" s="3" t="inlineStr">
        <is>
          <t>Привязка карты</t>
        </is>
      </c>
      <c r="D9" s="3" t="inlineStr">
        <is>
          <t>Отказ в разрешении камеры</t>
        </is>
      </c>
      <c r="E9" s="3" t="inlineStr">
        <is>
          <t>Приложение установлено; разрешение камеры ещё не предоставлено.</t>
        </is>
      </c>
      <c r="F9" s="3" t="inlineStr">
        <is>
          <t>—</t>
        </is>
      </c>
      <c r="G9" s="3" t="inlineStr">
        <is>
          <t>1. Запустить сценарий сканирования.
2. На системном запросе запретить доступ.</t>
        </is>
      </c>
      <c r="H9" s="3" t="inlineStr">
        <is>
          <t>Приложение корректно обрабатывает отказ и не падает; дальнейшие варианты соответствуют требованиям.</t>
        </is>
      </c>
      <c r="I9" s="3" t="inlineStr">
        <is>
          <t>Пройден</t>
        </is>
      </c>
      <c r="J9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9" s="3" t="n"/>
      <c r="L9" s="3" t="n"/>
    </row>
    <row r="10" ht="72" customHeight="1" s="10">
      <c r="A10" s="2" t="inlineStr">
        <is>
          <t>TC-009</t>
        </is>
      </c>
      <c r="B10" s="3" t="inlineStr">
        <is>
          <t>TS-02</t>
        </is>
      </c>
      <c r="C10" s="3" t="inlineStr">
        <is>
          <t>Привязка карты</t>
        </is>
      </c>
      <c r="D10" s="3" t="inlineStr">
        <is>
          <t>Выбор карты по умолчанию</t>
        </is>
      </c>
      <c r="E10" s="3" t="inlineStr">
        <is>
          <t>Привязано две или более тестовые карты, если сценарий поддерживается.</t>
        </is>
      </c>
      <c r="F10" s="3" t="inlineStr">
        <is>
          <t>Тестовые карты</t>
        </is>
      </c>
      <c r="G10" s="3" t="inlineStr">
        <is>
          <t>1. Открыть управление картами.
2. Выбрать карту по умолчанию.
3. Перезапустить приложение.
4. Проверить выбранную карту.</t>
        </is>
      </c>
      <c r="H10" s="3" t="inlineStr">
        <is>
          <t>Выбор сохраняется согласно требованиям и отражается в интерфейсе.</t>
        </is>
      </c>
      <c r="I10" s="3" t="inlineStr">
        <is>
          <t>Пройден</t>
        </is>
      </c>
      <c r="J10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10" s="3" t="n"/>
      <c r="L10" s="3" t="n"/>
    </row>
    <row r="11" ht="72" customHeight="1" s="10">
      <c r="A11" s="2" t="inlineStr">
        <is>
          <t>TC-010</t>
        </is>
      </c>
      <c r="B11" s="3" t="inlineStr">
        <is>
          <t>TS-03</t>
        </is>
      </c>
      <c r="C11" s="3" t="inlineStr">
        <is>
          <t>NFC-оплата</t>
        </is>
      </c>
      <c r="D11" s="3" t="inlineStr">
        <is>
          <t>Успешная NFC-оплата</t>
        </is>
      </c>
      <c r="E11" s="3" t="inlineStr">
        <is>
          <t>NFC включён; экран разблокирован; тестовая карта настроена; доступен тестовый платёжный стенд/терминал.</t>
        </is>
      </c>
      <c r="F11" s="3" t="inlineStr">
        <is>
          <t>Утверждённый тестовый сценарий</t>
        </is>
      </c>
      <c r="G11" s="3" t="inlineStr">
        <is>
          <t>1. Убедиться, что NFC включён.
2. Выполнить оплату на тестовом стенде.
3. Проверить статус в приложении и QA-источнике.</t>
        </is>
      </c>
      <c r="H11" s="3" t="inlineStr">
        <is>
          <t>Успешный статус подтверждён независимым QA-источником; данные в приложении не противоречат ему.</t>
        </is>
      </c>
      <c r="I11" s="3" t="inlineStr">
        <is>
          <t>Пройден</t>
        </is>
      </c>
      <c r="J11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11" s="3" t="n"/>
      <c r="L11" s="3" t="n"/>
    </row>
    <row r="12" ht="72" customHeight="1" s="10">
      <c r="A12" s="2" t="inlineStr">
        <is>
          <t>TC-011</t>
        </is>
      </c>
      <c r="B12" s="3" t="inlineStr">
        <is>
          <t>TS-03</t>
        </is>
      </c>
      <c r="C12" s="3" t="inlineStr">
        <is>
          <t>NFC-оплата</t>
        </is>
      </c>
      <c r="D12" s="3" t="inlineStr">
        <is>
          <t>Оплата при выключенном NFC</t>
        </is>
      </c>
      <c r="E12" s="3" t="inlineStr">
        <is>
          <t>Приложение настроено; NFC можно отключить в системных настройках.</t>
        </is>
      </c>
      <c r="F12" s="3" t="inlineStr">
        <is>
          <t>—</t>
        </is>
      </c>
      <c r="G12" s="3" t="inlineStr">
        <is>
          <t>1. Отключить NFC.
2. Запустить предусмотренный сценарий оплаты.</t>
        </is>
      </c>
      <c r="H12" s="3" t="inlineStr">
        <is>
          <t>Пользователь получает понятную инструкцию/ошибку; успешная оплата не заявляется без подтверждения.</t>
        </is>
      </c>
      <c r="I12" s="3" t="inlineStr">
        <is>
          <t>Пройден</t>
        </is>
      </c>
      <c r="J12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12" s="3" t="n"/>
      <c r="L12" s="3" t="n"/>
    </row>
    <row r="13" ht="72" customHeight="1" s="10">
      <c r="A13" s="2" t="inlineStr">
        <is>
          <t>TC-012</t>
        </is>
      </c>
      <c r="B13" s="3" t="inlineStr">
        <is>
          <t>TS-03</t>
        </is>
      </c>
      <c r="C13" s="3" t="inlineStr">
        <is>
          <t>NFC-оплата</t>
        </is>
      </c>
      <c r="D13" s="3" t="inlineStr">
        <is>
          <t>Поведение при заблокированном экране</t>
        </is>
      </c>
      <c r="E13" s="3" t="inlineStr">
        <is>
          <t>Требования к оплате с заблокированным экраном уточнены; тестовый стенд готов.</t>
        </is>
      </c>
      <c r="F13" s="3" t="inlineStr">
        <is>
          <t>Утверждённый тестовый сценарий</t>
        </is>
      </c>
      <c r="G13" s="3" t="inlineStr">
        <is>
          <t>1. Заблокировать экран.
2. Выполнить согласованный сценарий оплаты.
3. Сверить фактическое поведение с требованиями.</t>
        </is>
      </c>
      <c r="H13" s="3" t="inlineStr">
        <is>
          <t>Поведение соответствует утверждённой политике безопасности. Требование необходимо уточнить до оценки результата.</t>
        </is>
      </c>
      <c r="I13" s="3" t="inlineStr">
        <is>
          <t>Пройден</t>
        </is>
      </c>
      <c r="J13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13" s="3" t="n"/>
      <c r="L13" s="3" t="n"/>
    </row>
    <row r="14" ht="72" customHeight="1" s="10">
      <c r="A14" s="2" t="inlineStr">
        <is>
          <t>TC-013</t>
        </is>
      </c>
      <c r="B14" s="3" t="inlineStr">
        <is>
          <t>TS-03</t>
        </is>
      </c>
      <c r="C14" s="3" t="inlineStr">
        <is>
          <t>NFC-оплата</t>
        </is>
      </c>
      <c r="D14" s="3" t="inlineStr">
        <is>
          <t>Проверка статуса оплаты при нулевом балансе</t>
        </is>
      </c>
      <c r="E14" s="3" t="inlineStr">
        <is>
          <t>Выполнена тестовая операция.</t>
        </is>
      </c>
      <c r="F14" s="3" t="inlineStr">
        <is>
          <t>Тестовая карта с нулевым балансом; тестовая операция; независимый QA-источник статуса</t>
        </is>
      </c>
      <c r="G14" s="3" t="inlineStr">
        <is>
          <t>1. Убедиться, что используется разрешённая тестовая карта с нулевым балансом.
2. Выполнить согласованный тестовый сценарий оплаты.
3. Открыть историю транзакций MIR Pay.
4. Сверить статус с банком/эквайером или утверждённым QA-источником.</t>
        </is>
      </c>
      <c r="H14" s="3" t="inlineStr">
        <is>
          <t>Приложение отображает статус, соответствующий независимо подтверждённому результату операции.</t>
        </is>
      </c>
      <c r="I14" s="3" t="inlineStr">
        <is>
          <t>Не пройден</t>
        </is>
      </c>
      <c r="J14" s="3" t="inlineStr">
        <is>
          <t>В истории MIR Pay отображается сообщение об успешной оплате при нулевом балансе; фактический статус требует независимой сверки.</t>
        </is>
      </c>
      <c r="K14" s="14" t="inlineStr">
        <is>
          <t>BR-006</t>
        </is>
      </c>
      <c r="L14" s="3" t="n"/>
    </row>
    <row r="15" ht="72" customHeight="1" s="10">
      <c r="A15" s="2" t="inlineStr">
        <is>
          <t>TC-014</t>
        </is>
      </c>
      <c r="B15" s="3" t="inlineStr">
        <is>
          <t>TS-04</t>
        </is>
      </c>
      <c r="C15" s="3" t="inlineStr">
        <is>
          <t>Сеть и прерывания</t>
        </is>
      </c>
      <c r="D15" s="3" t="inlineStr">
        <is>
          <t>Нет интернета до привязки карты</t>
        </is>
      </c>
      <c r="E15" s="3" t="inlineStr">
        <is>
          <t>Приложение установлено; сеть можно отключить.</t>
        </is>
      </c>
      <c r="F15" s="3" t="inlineStr">
        <is>
          <t>—</t>
        </is>
      </c>
      <c r="G15" s="3" t="inlineStr">
        <is>
          <t>1. Отключить Wi-Fi и мобильные данные.
2. Открыть привязку карты.
3. Продолжить сценарий.</t>
        </is>
      </c>
      <c r="H15" s="3" t="inlineStr">
        <is>
          <t>Приложение корректно сообщает о недоступности сети либо выполняет действие, если это разрешено требованиями.</t>
        </is>
      </c>
      <c r="I15" s="3" t="inlineStr">
        <is>
          <t>Пройден</t>
        </is>
      </c>
      <c r="J15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15" s="3" t="n"/>
      <c r="L15" s="3" t="n"/>
    </row>
    <row r="16" ht="72" customHeight="1" s="10">
      <c r="A16" s="2" t="inlineStr">
        <is>
          <t>TC-015</t>
        </is>
      </c>
      <c r="B16" s="3" t="inlineStr">
        <is>
          <t>TS-04</t>
        </is>
      </c>
      <c r="C16" s="3" t="inlineStr">
        <is>
          <t>Сеть и прерывания</t>
        </is>
      </c>
      <c r="D16" s="3" t="inlineStr">
        <is>
          <t>Переключение Wi-Fi на мобильную сеть</t>
        </is>
      </c>
      <c r="E16" s="3" t="inlineStr">
        <is>
          <t>Оба типа сети доступны.</t>
        </is>
      </c>
      <c r="F16" s="3" t="inlineStr">
        <is>
          <t>—</t>
        </is>
      </c>
      <c r="G16" s="3" t="inlineStr">
        <is>
          <t>1. Запустить приложение.
2. Переключить Wi-Fi на мобильную сеть.
3. Продолжить текущий сценарий.</t>
        </is>
      </c>
      <c r="H16" s="3" t="inlineStr">
        <is>
          <t>Приложение не зависает; состояние и сообщения соответствуют фактическому подключению.</t>
        </is>
      </c>
      <c r="I16" s="3" t="inlineStr">
        <is>
          <t>Не пройден</t>
        </is>
      </c>
      <c r="J16" s="3" t="inlineStr">
        <is>
          <t>После переключения сети экран загрузки отображается около 2 минут.</t>
        </is>
      </c>
      <c r="K16" s="14" t="inlineStr">
        <is>
          <t>BR-004</t>
        </is>
      </c>
      <c r="L16" s="3" t="n"/>
    </row>
    <row r="17" ht="72" customHeight="1" s="10">
      <c r="A17" s="2" t="inlineStr">
        <is>
          <t>TC-016</t>
        </is>
      </c>
      <c r="B17" s="3" t="inlineStr">
        <is>
          <t>TS-04</t>
        </is>
      </c>
      <c r="C17" s="3" t="inlineStr">
        <is>
          <t>Сеть и прерывания</t>
        </is>
      </c>
      <c r="D17" s="3" t="inlineStr">
        <is>
          <t>Входящий звонок во время работы</t>
        </is>
      </c>
      <c r="E17" s="3" t="inlineStr">
        <is>
          <t>Приложение открыто на безопасном тестовом экране.</t>
        </is>
      </c>
      <c r="F17" s="3" t="inlineStr">
        <is>
          <t>Тестовый звонок</t>
        </is>
      </c>
      <c r="G17" s="3" t="inlineStr">
        <is>
          <t>1. Открыть приложение.
2. Получить входящий звонок.
3. Завершить звонок и вернуться в приложение.</t>
        </is>
      </c>
      <c r="H17" s="3" t="inlineStr">
        <is>
          <t>После звонка приложение остаётся работоспособным; состояние экрана корректно восстановлено.</t>
        </is>
      </c>
      <c r="I17" s="3" t="inlineStr">
        <is>
          <t>Пройден</t>
        </is>
      </c>
      <c r="J17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17" s="3" t="n"/>
      <c r="L17" s="3" t="n"/>
    </row>
    <row r="18" ht="72" customHeight="1" s="10">
      <c r="A18" s="2" t="inlineStr">
        <is>
          <t>TC-017</t>
        </is>
      </c>
      <c r="B18" s="3" t="inlineStr">
        <is>
          <t>TS-04</t>
        </is>
      </c>
      <c r="C18" s="3" t="inlineStr">
        <is>
          <t>Сеть и прерывания</t>
        </is>
      </c>
      <c r="D18" s="3" t="inlineStr">
        <is>
          <t>Сворачивание и возврат</t>
        </is>
      </c>
      <c r="E18" s="3" t="inlineStr">
        <is>
          <t>Приложение открыто.</t>
        </is>
      </c>
      <c r="F18" s="3" t="inlineStr">
        <is>
          <t>—</t>
        </is>
      </c>
      <c r="G18" s="3" t="inlineStr">
        <is>
          <t>1. Свернуть приложение.
2. Подождать несколько секунд.
3. Вернуться в приложение.</t>
        </is>
      </c>
      <c r="H18" s="3" t="inlineStr">
        <is>
          <t>Приложение восстанавливается без падения; чувствительные экраны защищены согласно требованиям.</t>
        </is>
      </c>
      <c r="I18" s="3" t="inlineStr">
        <is>
          <t>Пройден</t>
        </is>
      </c>
      <c r="J18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18" s="3" t="n"/>
      <c r="L18" s="3" t="n"/>
    </row>
    <row r="19" ht="72" customHeight="1" s="10">
      <c r="A19" s="2" t="inlineStr">
        <is>
          <t>TC-018</t>
        </is>
      </c>
      <c r="B19" s="3" t="inlineStr">
        <is>
          <t>TS-04</t>
        </is>
      </c>
      <c r="C19" s="3" t="inlineStr">
        <is>
          <t>Сеть и прерывания</t>
        </is>
      </c>
      <c r="D19" s="3" t="inlineStr">
        <is>
          <t>Потеря сети во время оплаты</t>
        </is>
      </c>
      <c r="E19" s="3" t="inlineStr">
        <is>
          <t>Тестовая операция выполняется на разрешённом стенде; есть способ проверить итоговый статус.</t>
        </is>
      </c>
      <c r="F19" s="3" t="inlineStr">
        <is>
          <t>Тестовая операция</t>
        </is>
      </c>
      <c r="G19" s="3" t="inlineStr">
        <is>
          <t>1. Запустить оплату.
2. В согласованный момент отключить сеть.
3. Не повторять оплату.
4. Проверить статус через QA-источник.</t>
        </is>
      </c>
      <c r="H19" s="3" t="inlineStr">
        <is>
          <t>Пользователь получает корректный статус/сообщение; перед повтором операции итог первой попытки установлен.</t>
        </is>
      </c>
      <c r="I19" s="3" t="inlineStr">
        <is>
          <t>Пройден</t>
        </is>
      </c>
      <c r="J19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19" s="3" t="n"/>
      <c r="L19" s="3" t="n"/>
    </row>
    <row r="20" ht="72" customHeight="1" s="10">
      <c r="A20" s="2" t="inlineStr">
        <is>
          <t>TC-019</t>
        </is>
      </c>
      <c r="B20" s="3" t="inlineStr">
        <is>
          <t>TS-05</t>
        </is>
      </c>
      <c r="C20" s="3" t="inlineStr">
        <is>
          <t>UI и адаптация</t>
        </is>
      </c>
      <c r="D20" s="3" t="inlineStr">
        <is>
          <t>Проверка основных экранов</t>
        </is>
      </c>
      <c r="E20" s="3" t="inlineStr">
        <is>
          <t>Приложение установлено и доступно.</t>
        </is>
      </c>
      <c r="F20" s="3" t="inlineStr">
        <is>
          <t>—</t>
        </is>
      </c>
      <c r="G20" s="3" t="inlineStr">
        <is>
          <t>1. Последовательно открыть основные экраны.
2. Проверить текст, кнопки, отступы и обрезание элементов.</t>
        </is>
      </c>
      <c r="H20" s="3" t="inlineStr">
        <is>
          <t>Ключевые элементы видимы, читаемы и доступны.</t>
        </is>
      </c>
      <c r="I20" s="3" t="inlineStr">
        <is>
          <t>Пройден</t>
        </is>
      </c>
      <c r="J20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20" s="3" t="n"/>
      <c r="L20" s="3" t="n"/>
    </row>
    <row r="21" ht="72" customHeight="1" s="10">
      <c r="A21" s="2" t="inlineStr">
        <is>
          <t>TC-020</t>
        </is>
      </c>
      <c r="B21" s="3" t="inlineStr">
        <is>
          <t>TS-05</t>
        </is>
      </c>
      <c r="C21" s="3" t="inlineStr">
        <is>
          <t>UI и адаптация</t>
        </is>
      </c>
      <c r="D21" s="3" t="inlineStr">
        <is>
          <t>Поворот экрана</t>
        </is>
      </c>
      <c r="E21" s="3" t="inlineStr">
        <is>
          <t>Требования к поддержке альбомной ориентации уточнены.</t>
        </is>
      </c>
      <c r="F21" s="3" t="inlineStr">
        <is>
          <t>—</t>
        </is>
      </c>
      <c r="G21" s="3" t="inlineStr">
        <is>
          <t>1. Открыть основной экран.
2. Повернуть устройство.
3. Проверить отображение и состояние.</t>
        </is>
      </c>
      <c r="H21" s="3" t="inlineStr">
        <is>
          <t>Поведение соответствует требованиям; отсутствуют наложения и потеря состояния.</t>
        </is>
      </c>
      <c r="I21" s="3" t="inlineStr">
        <is>
          <t>Пройден</t>
        </is>
      </c>
      <c r="J21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21" s="3" t="n"/>
      <c r="L21" s="3" t="n"/>
    </row>
    <row r="22" ht="72" customHeight="1" s="10">
      <c r="A22" s="2" t="inlineStr">
        <is>
          <t>TC-021</t>
        </is>
      </c>
      <c r="B22" s="3" t="inlineStr">
        <is>
          <t>TS-06</t>
        </is>
      </c>
      <c r="C22" s="3" t="inlineStr">
        <is>
          <t>Разрешения</t>
        </is>
      </c>
      <c r="D22" s="3" t="inlineStr">
        <is>
          <t>Изменение разрешения камеры в настройках</t>
        </is>
      </c>
      <c r="E22" s="3" t="inlineStr">
        <is>
          <t>Приложение установлено.</t>
        </is>
      </c>
      <c r="F22" s="3" t="inlineStr">
        <is>
          <t>—</t>
        </is>
      </c>
      <c r="G22" s="3" t="inlineStr">
        <is>
          <t>1. Запретить камеру в настройках Android.
2. Вернуться в приложение.
3. Запустить сканирование.</t>
        </is>
      </c>
      <c r="H22" s="3" t="inlineStr">
        <is>
          <t>Приложение корректно обрабатывает отсутствие разрешения и предлагает доступный путь продолжения.</t>
        </is>
      </c>
      <c r="I22" s="3" t="inlineStr">
        <is>
          <t>Пройден</t>
        </is>
      </c>
      <c r="J22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22" s="3" t="n"/>
      <c r="L22" s="3" t="n"/>
    </row>
    <row r="23" ht="72" customHeight="1" s="10">
      <c r="A23" s="2" t="inlineStr">
        <is>
          <t>TC-022</t>
        </is>
      </c>
      <c r="B23" s="3" t="inlineStr">
        <is>
          <t>TS-07</t>
        </is>
      </c>
      <c r="C23" s="3" t="inlineStr">
        <is>
          <t>Безопасность и ошибки</t>
        </is>
      </c>
      <c r="D23" s="3" t="inlineStr">
        <is>
          <t>Проверка логов на чувствительные данные</t>
        </is>
      </c>
      <c r="E23" s="3" t="inlineStr">
        <is>
          <t>Доступны логи QA-сборки; используются только тестовые данные.</t>
        </is>
      </c>
      <c r="F23" s="3" t="inlineStr">
        <is>
          <t>Тестовые данные</t>
        </is>
      </c>
      <c r="G23" s="3" t="inlineStr">
        <is>
          <t>1. Выполнить тестовую привязку/ошибочный сценарий.
2. Собрать логи.
3. Проверить наличие PAN, CVV, PIN, OTP, токенов.</t>
        </is>
      </c>
      <c r="H23" s="3" t="inlineStr">
        <is>
          <t>Чувствительные данные не раскрываются в логах; при обнаружении создать дефект с безопасным фрагментом логов.</t>
        </is>
      </c>
      <c r="I23" s="3" t="inlineStr">
        <is>
          <t>Пройден</t>
        </is>
      </c>
      <c r="J23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23" s="3" t="n"/>
      <c r="L23" s="3" t="n"/>
    </row>
    <row r="24" ht="72" customHeight="1" s="10">
      <c r="A24" s="2" t="inlineStr">
        <is>
          <t>TC-023</t>
        </is>
      </c>
      <c r="B24" s="3" t="inlineStr">
        <is>
          <t>TS-07</t>
        </is>
      </c>
      <c r="C24" s="3" t="inlineStr">
        <is>
          <t>Безопасность и ошибки</t>
        </is>
      </c>
      <c r="D24" s="3" t="inlineStr">
        <is>
          <t>Обработка ошибки сети</t>
        </is>
      </c>
      <c r="E24" s="3" t="inlineStr">
        <is>
          <t>Можно безопасно воспроизвести сетевую ошибку.</t>
        </is>
      </c>
      <c r="F24" s="3" t="inlineStr">
        <is>
          <t>—</t>
        </is>
      </c>
      <c r="G24" s="3" t="inlineStr">
        <is>
          <t>1. Отключить сеть в согласованном сценарии.
2. Выполнить действие, требующее сети.
3. Проверить сообщение и восстановление.</t>
        </is>
      </c>
      <c r="H24" s="3" t="inlineStr">
        <is>
          <t>Сообщение понятно; приложение не сообщает об успехе без подтверждения.</t>
        </is>
      </c>
      <c r="I24" s="3" t="inlineStr">
        <is>
          <t>Пройден</t>
        </is>
      </c>
      <c r="J24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24" s="3" t="n"/>
      <c r="L24" s="3" t="n"/>
    </row>
    <row r="25" ht="72" customHeight="1" s="10">
      <c r="A25" s="2" t="inlineStr">
        <is>
          <t>TC-024</t>
        </is>
      </c>
      <c r="B25" s="3" t="inlineStr">
        <is>
          <t>TS-07</t>
        </is>
      </c>
      <c r="C25" s="3" t="inlineStr">
        <is>
          <t>Безопасность и ошибки</t>
        </is>
      </c>
      <c r="D25" s="3" t="inlineStr">
        <is>
          <t>Защита от дублирования после сбоя</t>
        </is>
      </c>
      <c r="E25" s="3" t="inlineStr">
        <is>
          <t>Тестовая операция завершена с неопределённым для UI статусом; есть QA-источник проверки.</t>
        </is>
      </c>
      <c r="F25" s="3" t="inlineStr">
        <is>
          <t>ID тестовой операции</t>
        </is>
      </c>
      <c r="G25" s="3" t="inlineStr">
        <is>
          <t>1. Зафиксировать ID операции.
2. Проверить её статус в QA-источнике.
3. Только после подтверждения отсутствия операции действовать по процедуре повторной попытки.</t>
        </is>
      </c>
      <c r="H25" s="3" t="inlineStr">
        <is>
          <t>Нет непреднамеренного дублирования; решение о повторе основано на подтверждённом статусе.</t>
        </is>
      </c>
      <c r="I25" s="3" t="inlineStr">
        <is>
          <t>Пройден</t>
        </is>
      </c>
      <c r="J25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25" s="3" t="n"/>
      <c r="L25" s="3" t="n"/>
    </row>
    <row r="26" ht="72" customHeight="1" s="10">
      <c r="A26" s="2" t="inlineStr">
        <is>
          <t>TC-025</t>
        </is>
      </c>
      <c r="B26" s="3" t="inlineStr">
        <is>
          <t>TS-08</t>
        </is>
      </c>
      <c r="C26" s="3" t="inlineStr">
        <is>
          <t>Полная регрессия</t>
        </is>
      </c>
      <c r="D26" s="3" t="inlineStr">
        <is>
          <t>Регрессионный прогон основных сценариев</t>
        </is>
      </c>
      <c r="E26" s="3" t="inlineStr">
        <is>
          <t>Основные проверки завершены; сборка и стенд доступны.</t>
        </is>
      </c>
      <c r="F26" s="3" t="inlineStr">
        <is>
          <t>Тестовые карты и стенд</t>
        </is>
      </c>
      <c r="G26" s="3" t="inlineStr">
        <is>
          <t>1. Повторить запуск.
2. Повторить привязку карты.
3. Выполнить согласованную NFC-оплату.
4. Проверить выбор карты и восстановление после прерываний.</t>
        </is>
      </c>
      <c r="H26" s="3" t="inlineStr">
        <is>
          <t>Критические пользовательские сценарии работают; результаты и дефекты задокументированы.</t>
        </is>
      </c>
      <c r="I26" s="3" t="inlineStr">
        <is>
          <t>Пройден</t>
        </is>
      </c>
      <c r="J26" s="3" t="inlineStr">
        <is>
          <t>Дефект не зарегистрирован в листе «06 Баг-репорты»; отмечено как пройдено по принятому правилу сопоставления.</t>
        </is>
      </c>
      <c r="K26" s="3" t="n"/>
      <c r="L26" s="3" t="n"/>
    </row>
    <row r="27" ht="90" customHeight="1" s="10">
      <c r="A27" s="2" t="inlineStr">
        <is>
          <t>TC-026</t>
        </is>
      </c>
      <c r="B27" s="3" t="inlineStr">
        <is>
          <t>TS-02</t>
        </is>
      </c>
      <c r="C27" s="3" t="inlineStr">
        <is>
          <t>Привязка карты</t>
        </is>
      </c>
      <c r="D27" s="3" t="inlineStr">
        <is>
          <t>Нажатие на замаскированный номер карты</t>
        </is>
      </c>
      <c r="E27" s="3" t="inlineStr">
        <is>
          <t>Карта добавлена; открыт раздел «Подробнее»; поведение сверено с требованиями безопасности.</t>
        </is>
      </c>
      <c r="F27" s="3" t="inlineStr">
        <is>
          <t>Тестовая карта</t>
        </is>
      </c>
      <c r="G27" s="3" t="inlineStr">
        <is>
          <t>1. Открыть MIR Pay.
2. Открыть карточку добавленной карты.
3. Перейти в «Подробнее».
4. Нажать на замаскированный номер карты.</t>
        </is>
      </c>
      <c r="H27" s="3" t="inlineStr">
        <is>
          <t>Реакция соответствует спецификации и политике безопасности; полный номер раскрывается только если это разрешено требованиями.</t>
        </is>
      </c>
      <c r="I27" s="3" t="inlineStr">
        <is>
          <t>Не пройден</t>
        </is>
      </c>
      <c r="J27" s="3" t="inlineStr">
        <is>
          <t>По нажатию реакции нет; необходимость раскрытия полного номера требует подтверждения по спецификации.</t>
        </is>
      </c>
      <c r="K27" s="14" t="inlineStr">
        <is>
          <t>BR-003</t>
        </is>
      </c>
      <c r="L27" s="3" t="inlineStr">
        <is>
          <t>Оценка предварительная; подтвердить требование перед классификацией как дефекта.</t>
        </is>
      </c>
    </row>
    <row r="28" ht="90" customHeight="1" s="10">
      <c r="A28" s="2" t="inlineStr">
        <is>
          <t>TC-027</t>
        </is>
      </c>
      <c r="B28" s="3" t="inlineStr">
        <is>
          <t>TS-02</t>
        </is>
      </c>
      <c r="C28" s="3" t="inlineStr">
        <is>
          <t>Привязка карты</t>
        </is>
      </c>
      <c r="D28" s="3" t="inlineStr">
        <is>
          <t>Валидация поля CVV/CVC</t>
        </is>
      </c>
      <c r="E28" s="3" t="inlineStr">
        <is>
          <t>Открыт экран добавления карты; используется только тестовая карта и тестовые данные.</t>
        </is>
      </c>
      <c r="F28" s="3" t="inlineStr">
        <is>
          <t>Некорректные тестовые данные карты</t>
        </is>
      </c>
      <c r="G28" s="3" t="inlineStr">
        <is>
          <t>1. Открыть добавление карты.
2. Ввести данные, вызывающие сценарий валидации.
3. Перейти к полю CVV/CVC.
4. Проверить доступность поля и обратную связь.</t>
        </is>
      </c>
      <c r="H28" s="3" t="inlineStr">
        <is>
          <t>Поле CVV/CVC работает согласно требованиям; при необходимости ввода/исправления пользователь получает понятную обратную связь.</t>
        </is>
      </c>
      <c r="I28" s="3" t="inlineStr">
        <is>
          <t>Не пройден</t>
        </is>
      </c>
      <c r="J28" s="3" t="inlineStr">
        <is>
          <t>Поле CVV/CVC не активируется по нажатию; понятное сообщение отсутствует.</t>
        </is>
      </c>
      <c r="K28" s="14" t="inlineStr">
        <is>
          <t>BR-005</t>
        </is>
      </c>
      <c r="L28" s="3" t="inlineStr">
        <is>
          <t>Предварительно S2/P2, если это блокирует добавление карты; подтвердить наличие обходного пути.</t>
        </is>
      </c>
    </row>
  </sheetData>
  <autoFilter ref="A1:L28"/>
  <conditionalFormatting sqref="I2:I26">
    <cfRule type="expression" priority="1" dxfId="2">
      <formula>I2="Пройден"</formula>
    </cfRule>
    <cfRule type="expression" priority="2" dxfId="1">
      <formula>I2="Не пройден"</formula>
    </cfRule>
    <cfRule type="expression" priority="3" dxfId="0">
      <formula>I2="Заблокирован"</formula>
    </cfRule>
  </conditionalFormatting>
  <dataValidations count="1">
    <dataValidation sqref="I2:I26" showDropDown="0" showInputMessage="0" showErrorMessage="0" allowBlank="0" type="list">
      <formula1>"Не выполнен,Пройден,Не пройден,Заблокирован,Не применимо"</formula1>
    </dataValidation>
  </dataValidations>
  <hyperlinks>
    <hyperlink xmlns:r="http://schemas.openxmlformats.org/officeDocument/2006/relationships" ref="K6" r:id="rId1"/>
    <hyperlink xmlns:r="http://schemas.openxmlformats.org/officeDocument/2006/relationships" ref="K8" r:id="rId2"/>
    <hyperlink xmlns:r="http://schemas.openxmlformats.org/officeDocument/2006/relationships" ref="K14" r:id="rId3"/>
    <hyperlink xmlns:r="http://schemas.openxmlformats.org/officeDocument/2006/relationships" ref="K16" r:id="rId4"/>
    <hyperlink xmlns:r="http://schemas.openxmlformats.org/officeDocument/2006/relationships" ref="K27" r:id="rId5"/>
    <hyperlink xmlns:r="http://schemas.openxmlformats.org/officeDocument/2006/relationships" ref="K28" r:id="rId6"/>
  </hyperlinks>
  <pageMargins left="0.25" right="0.25" top="1" bottom="1" header="0.5" footer="0.5"/>
  <pageSetup orientation="landscape" paperSize="9" fitToHeight="0"/>
  <tableParts count="1">
    <tablePart xmlns:r="http://schemas.openxmlformats.org/officeDocument/2006/relationships" r:id="rId7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tabSelected="1" zoomScale="85" workbookViewId="0">
      <pane ySplit="1" topLeftCell="A2" activePane="bottomLeft" state="frozen"/>
      <selection pane="bottomLeft" activeCell="B9" sqref="B9"/>
    </sheetView>
  </sheetViews>
  <sheetFormatPr baseColWidth="8" defaultRowHeight="14.4"/>
  <cols>
    <col width="48" customWidth="1" style="10" min="1" max="3"/>
  </cols>
  <sheetData>
    <row r="1" ht="31.95" customHeight="1" s="10">
      <c r="A1" s="1" t="inlineStr">
        <is>
          <t>Показатель</t>
        </is>
      </c>
      <c r="B1" s="1" t="inlineStr">
        <is>
          <t>Чек-лист</t>
        </is>
      </c>
      <c r="C1" s="1" t="inlineStr">
        <is>
          <t>Тест-кейсы</t>
        </is>
      </c>
    </row>
    <row r="2">
      <c r="A2" s="2" t="inlineStr">
        <is>
          <t>Всего проверок / кейсов</t>
        </is>
      </c>
      <c r="B2" s="3">
        <f>COUNTA('02 Чек-лист'!A2:A48)</f>
        <v/>
      </c>
      <c r="C2" s="3">
        <f>COUNTA('03 Тест-кейсы'!A2:A28)</f>
        <v/>
      </c>
    </row>
    <row r="3">
      <c r="A3" s="2" t="inlineStr">
        <is>
          <t>Пройдено</t>
        </is>
      </c>
      <c r="B3" s="3">
        <f>COUNTIF('02 Чек-лист'!F2:F48,"Пройден")</f>
        <v/>
      </c>
      <c r="C3" s="3">
        <f>COUNTIF('03 Тест-кейсы'!I2:I28,"Пройден")</f>
        <v/>
      </c>
    </row>
    <row r="4">
      <c r="A4" s="2" t="inlineStr">
        <is>
          <t>Не пройдено</t>
        </is>
      </c>
      <c r="B4" s="3">
        <f>COUNTIF('02 Чек-лист'!F2:F48,"Не пройден")</f>
        <v/>
      </c>
      <c r="C4" s="3">
        <f>COUNTIF('03 Тест-кейсы'!I2:I28,"Не пройден")</f>
        <v/>
      </c>
    </row>
    <row r="5">
      <c r="A5" s="2" t="inlineStr">
        <is>
          <t>Заблокировано</t>
        </is>
      </c>
      <c r="B5" s="3">
        <f>COUNTIF('02 Чек-лист'!F2:F48,"Заблокирован")</f>
        <v/>
      </c>
      <c r="C5" s="3">
        <f>COUNTIF('03 Тест-кейсы'!I2:I28,"Заблокирован")</f>
        <v/>
      </c>
    </row>
    <row r="6">
      <c r="A6" s="2" t="inlineStr">
        <is>
          <t>Не применимо</t>
        </is>
      </c>
      <c r="B6" s="3">
        <f>COUNTIF('02 Чек-лист'!F2:F48,"Не применимо")</f>
        <v/>
      </c>
      <c r="C6" s="3">
        <f>COUNTIF('03 Тест-кейсы'!I2:I28,"Не применимо")</f>
        <v/>
      </c>
    </row>
    <row r="7">
      <c r="A7" s="2" t="inlineStr">
        <is>
          <t>Не выполнено</t>
        </is>
      </c>
      <c r="B7" s="3">
        <f>COUNTIF('02 Чек-лист'!F2:F48,"Не выполнен")</f>
        <v/>
      </c>
      <c r="C7" s="3">
        <f>COUNTIF('03 Тест-кейсы'!I2:I28,"Не выполнен")</f>
        <v/>
      </c>
    </row>
    <row r="8">
      <c r="A8" s="2" t="inlineStr">
        <is>
          <t>Доля пройденных среди всех</t>
        </is>
      </c>
      <c r="B8" s="4">
        <f>IFERROR(B3/B2,0)</f>
        <v/>
      </c>
      <c r="C8" s="4">
        <f>IFERROR(C3/C2,0)</f>
        <v/>
      </c>
    </row>
    <row r="9" ht="28.8" customHeight="1" s="10">
      <c r="A9" s="2" t="inlineStr">
        <is>
          <t>Доля пройденных среди завершённых (Пройден + Не пройден)</t>
        </is>
      </c>
      <c r="B9" s="4">
        <f>IFERROR(B3/(B3+B4),0)</f>
        <v/>
      </c>
      <c r="C9" s="4">
        <f>IFERROR(C3/(C3+C4),0)</f>
        <v/>
      </c>
    </row>
    <row r="10">
      <c r="A10" s="2" t="inlineStr">
        <is>
          <t>Примечание</t>
        </is>
      </c>
      <c r="B10" s="3" t="inlineStr">
        <is>
          <t>Статусы выставлены по правилу сопоставления: есть связанный баг-репорт — «Не пройден», нет — «Пройден». Проверить фактический прогон перед использованием как отчёта о завершённом тестировании.</t>
        </is>
      </c>
      <c r="C10" s="3" t="inlineStr">
        <is>
          <t>Статусы выставлены по правилу сопоставления с листом «06 Баг-репорты»; отсутствие баг-репорта само по себе не подтверждает фактический успешный прогон.</t>
        </is>
      </c>
    </row>
    <row r="11"/>
    <row r="12" ht="42" customHeight="1" s="10">
      <c r="A12" s="13" t="n"/>
      <c r="B12" s="9" t="n"/>
    </row>
  </sheetData>
  <mergeCells count="1">
    <mergeCell ref="B12:C12"/>
  </mergeCells>
  <pageMargins left="0.25" right="0.25" top="1" bottom="1" header="0.5" footer="0.5"/>
  <pageSetup orientation="landscape" paperSize="9" fitToHeight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="85" workbookViewId="0">
      <pane ySplit="1" topLeftCell="A2" activePane="bottomLeft" state="frozen"/>
      <selection pane="bottomLeft" activeCell="D4" sqref="D4"/>
    </sheetView>
  </sheetViews>
  <sheetFormatPr baseColWidth="8" defaultRowHeight="14.4"/>
  <cols>
    <col width="12" customWidth="1" style="10" min="1" max="1"/>
    <col width="25" customWidth="1" style="10" min="2" max="2"/>
    <col width="72" customWidth="1" style="10" min="3" max="3"/>
    <col width="18" customWidth="1" style="10" min="4" max="4"/>
    <col width="58" customWidth="1" style="10" min="5" max="5"/>
    <col width="55" customWidth="1" style="10" min="6" max="6"/>
  </cols>
  <sheetData>
    <row r="1" ht="31.95" customHeight="1" s="10">
      <c r="A1" s="1" t="inlineStr">
        <is>
          <t>ID</t>
        </is>
      </c>
      <c r="B1" s="1" t="inlineStr">
        <is>
          <t>Область</t>
        </is>
      </c>
      <c r="C1" s="1" t="inlineStr">
        <is>
          <t>Вопрос</t>
        </is>
      </c>
      <c r="D1" s="1" t="inlineStr">
        <is>
          <t>Статус</t>
        </is>
      </c>
      <c r="E1" s="1" t="inlineStr">
        <is>
          <t>Почему важно</t>
        </is>
      </c>
      <c r="F1" s="1" t="inlineStr">
        <is>
          <t>Ответ / решение</t>
        </is>
      </c>
    </row>
    <row r="2" ht="48" customHeight="1" s="10">
      <c r="A2" s="2" t="inlineStr">
        <is>
          <t>Q-01</t>
        </is>
      </c>
      <c r="B2" s="3" t="inlineStr">
        <is>
          <t>Карты и банки</t>
        </is>
      </c>
      <c r="C2" s="3" t="inlineStr">
        <is>
          <t>Какие банки и типы карт входят в тестовый объём?</t>
        </is>
      </c>
      <c r="D2" s="11" t="inlineStr">
        <is>
          <t>Согласовано</t>
        </is>
      </c>
      <c r="E2" s="3" t="inlineStr">
        <is>
          <t>Влияет на покрытие привязки и оплаты.</t>
        </is>
      </c>
      <c r="F2" s="3" t="inlineStr">
        <is>
          <t>Принимаются только карты системы МИР, список банков-партнёров предоставлен</t>
        </is>
      </c>
    </row>
    <row r="3" ht="48" customHeight="1" s="10">
      <c r="A3" s="2" t="inlineStr">
        <is>
          <t>Q-02</t>
        </is>
      </c>
      <c r="B3" s="3" t="inlineStr">
        <is>
          <t>Привязка карты</t>
        </is>
      </c>
      <c r="C3" s="3" t="inlineStr">
        <is>
          <t>Какой именно OTP/3DS или иной процесс подтверждения используется?</t>
        </is>
      </c>
      <c r="D3" s="3" t="inlineStr">
        <is>
          <t>Открыт</t>
        </is>
      </c>
      <c r="E3" s="3" t="inlineStr">
        <is>
          <t>Нужно описать ожидаемые шаги и ошибки.</t>
        </is>
      </c>
      <c r="F3" s="3" t="n"/>
    </row>
    <row r="4" ht="48" customHeight="1" s="10">
      <c r="A4" s="2" t="inlineStr">
        <is>
          <t>Q-03</t>
        </is>
      </c>
      <c r="B4" s="3" t="inlineStr">
        <is>
          <t>NFC</t>
        </is>
      </c>
      <c r="C4" s="3" t="inlineStr">
        <is>
          <t>Нужен ли интернет в момент NFC-оплаты и на каких этапах?</t>
        </is>
      </c>
      <c r="D4" s="3" t="inlineStr">
        <is>
          <t>Открыт</t>
        </is>
      </c>
      <c r="E4" s="3" t="inlineStr">
        <is>
          <t>Определяет сетевые сценарии.</t>
        </is>
      </c>
      <c r="F4" s="3" t="n"/>
    </row>
    <row r="5" ht="48" customHeight="1" s="10">
      <c r="A5" s="2" t="inlineStr">
        <is>
          <t>Q-04</t>
        </is>
      </c>
      <c r="B5" s="3" t="inlineStr">
        <is>
          <t>NFC</t>
        </is>
      </c>
      <c r="C5" s="3" t="inlineStr">
        <is>
          <t>Разрешена ли оплата при заблокированном экране?</t>
        </is>
      </c>
      <c r="D5" s="3" t="inlineStr">
        <is>
          <t>Открыт</t>
        </is>
      </c>
      <c r="E5" s="3" t="inlineStr">
        <is>
          <t>Нужно для проверки безопасности.</t>
        </is>
      </c>
      <c r="F5" s="3" t="n"/>
    </row>
    <row r="6" ht="48" customHeight="1" s="10">
      <c r="A6" s="2" t="inlineStr">
        <is>
          <t>Q-05</t>
        </is>
      </c>
      <c r="B6" s="3" t="inlineStr">
        <is>
          <t>Платёжный статус</t>
        </is>
      </c>
      <c r="C6" s="3" t="inlineStr">
        <is>
          <t>Какой QA-источник является источником истины для статуса операции?</t>
        </is>
      </c>
      <c r="D6" s="3" t="inlineStr">
        <is>
          <t>Открыт</t>
        </is>
      </c>
      <c r="E6" s="3" t="inlineStr">
        <is>
          <t>Нужно безопасно проверять результат после сетевых сбоев.</t>
        </is>
      </c>
      <c r="F6" s="3" t="n"/>
    </row>
    <row r="7" ht="48" customHeight="1" s="10">
      <c r="A7" s="2" t="inlineStr">
        <is>
          <t>Q-06</t>
        </is>
      </c>
      <c r="B7" s="3" t="inlineStr">
        <is>
          <t>Повторная оплата</t>
        </is>
      </c>
      <c r="C7" s="3" t="inlineStr">
        <is>
          <t>Каков утверждённый порядок повторной попытки при неопределённом статусе?</t>
        </is>
      </c>
      <c r="D7" s="3" t="inlineStr">
        <is>
          <t>Открыт</t>
        </is>
      </c>
      <c r="E7" s="3" t="inlineStr">
        <is>
          <t>Предотвращение дублирования.</t>
        </is>
      </c>
      <c r="F7" s="3" t="n"/>
    </row>
    <row r="8" ht="48" customHeight="1" s="10">
      <c r="A8" s="2" t="inlineStr">
        <is>
          <t>Q-07</t>
        </is>
      </c>
      <c r="B8" s="3" t="inlineStr">
        <is>
          <t>Карта по умолчанию</t>
        </is>
      </c>
      <c r="C8" s="3" t="inlineStr">
        <is>
          <t>Как должен сохраняться выбор карты после перезапуска, обновления и переустановки?</t>
        </is>
      </c>
      <c r="D8" s="3" t="inlineStr">
        <is>
          <t>Открыт</t>
        </is>
      </c>
      <c r="E8" s="3" t="inlineStr">
        <is>
          <t>Определяет ожидаемый результат.</t>
        </is>
      </c>
      <c r="F8" s="3" t="n"/>
    </row>
    <row r="9" ht="48" customHeight="1" s="10">
      <c r="A9" s="2" t="inlineStr">
        <is>
          <t>Q-08</t>
        </is>
      </c>
      <c r="B9" s="3" t="inlineStr">
        <is>
          <t>Валидация</t>
        </is>
      </c>
      <c r="C9" s="3" t="inlineStr">
        <is>
          <t>Какие правила валидации карты и какие тексты ошибок считаются эталонными?</t>
        </is>
      </c>
      <c r="D9" s="3" t="inlineStr">
        <is>
          <t>Открыт</t>
        </is>
      </c>
      <c r="E9" s="3" t="inlineStr">
        <is>
          <t>Нужны точные ожидаемые результаты.</t>
        </is>
      </c>
      <c r="F9" s="3" t="n"/>
    </row>
    <row r="10" ht="48" customHeight="1" s="10">
      <c r="A10" s="2" t="inlineStr">
        <is>
          <t>Q-09</t>
        </is>
      </c>
      <c r="B10" s="3" t="inlineStr">
        <is>
          <t>Ориентация</t>
        </is>
      </c>
      <c r="C10" s="3" t="inlineStr">
        <is>
          <t>Поддерживается ли альбомная ориентация?</t>
        </is>
      </c>
      <c r="D10" s="3" t="inlineStr">
        <is>
          <t>Открыт</t>
        </is>
      </c>
      <c r="E10" s="3" t="inlineStr">
        <is>
          <t>Иначе сценарий может быть неприменим.</t>
        </is>
      </c>
      <c r="F10" s="3" t="n"/>
    </row>
    <row r="11" ht="48" customHeight="1" s="10">
      <c r="A11" s="2" t="inlineStr">
        <is>
          <t>Q-10</t>
        </is>
      </c>
      <c r="B11" s="3" t="inlineStr">
        <is>
          <t>Устройства</t>
        </is>
      </c>
      <c r="C11" s="3" t="inlineStr">
        <is>
          <t>Есть ли матрица поддерживаемых версий Android и устройств?</t>
        </is>
      </c>
      <c r="D11" s="3" t="inlineStr">
        <is>
          <t>Открыт</t>
        </is>
      </c>
      <c r="E11" s="3" t="inlineStr">
        <is>
          <t>Сейчас указано одно устройство.</t>
        </is>
      </c>
      <c r="F11" s="3" t="n"/>
    </row>
    <row r="12" ht="48" customHeight="1" s="10">
      <c r="A12" s="2" t="inlineStr">
        <is>
          <t>Q-11</t>
        </is>
      </c>
      <c r="B12" s="3" t="inlineStr">
        <is>
          <t>Установка</t>
        </is>
      </c>
      <c r="C12" s="3" t="inlineStr">
        <is>
          <t>Какой источник установки и поддерживается ли обновление поверх предыдущей версии?</t>
        </is>
      </c>
      <c r="D12" s="3" t="inlineStr">
        <is>
          <t>Открыт</t>
        </is>
      </c>
      <c r="E12" s="3" t="inlineStr">
        <is>
          <t>Нужно для воспроизводимости.</t>
        </is>
      </c>
      <c r="F12" s="3" t="n"/>
    </row>
    <row r="13" ht="48" customHeight="1" s="10">
      <c r="A13" s="2" t="inlineStr">
        <is>
          <t>Q-12</t>
        </is>
      </c>
      <c r="B13" s="3" t="inlineStr">
        <is>
          <t>Разрешения</t>
        </is>
      </c>
      <c r="C13" s="3" t="inlineStr">
        <is>
          <t>Какие разрешения официально требуются приложению и на каких шагах?</t>
        </is>
      </c>
      <c r="D13" s="3" t="inlineStr">
        <is>
          <t>Открыт</t>
        </is>
      </c>
      <c r="E13" s="3" t="inlineStr">
        <is>
          <t>Для проверки принципа минимальных разрешений.</t>
        </is>
      </c>
      <c r="F13" s="3" t="n"/>
    </row>
    <row r="14" ht="48" customHeight="1" s="10">
      <c r="A14" s="2" t="inlineStr">
        <is>
          <t>Q-13</t>
        </is>
      </c>
      <c r="B14" s="3" t="inlineStr">
        <is>
          <t>Логи</t>
        </is>
      </c>
      <c r="C14" s="3" t="inlineStr">
        <is>
          <t>Какие логи разрешено прикладывать к баг-репортам и как их обезличивать?</t>
        </is>
      </c>
      <c r="D14" s="3" t="inlineStr">
        <is>
          <t>Открыт</t>
        </is>
      </c>
      <c r="E14" s="3" t="inlineStr">
        <is>
          <t>Не допускать раскрытия платёжных секретов.</t>
        </is>
      </c>
      <c r="F14" s="3" t="n"/>
    </row>
    <row r="15" ht="48" customHeight="1" s="10">
      <c r="A15" s="2" t="inlineStr">
        <is>
          <t>Q-14</t>
        </is>
      </c>
      <c r="B15" s="3" t="inlineStr">
        <is>
          <t>Окружение</t>
        </is>
      </c>
      <c r="C15" s="3" t="inlineStr">
        <is>
          <t>Какие терминалы, тестовые карты и стенды доступны для оплаты?</t>
        </is>
      </c>
      <c r="D15" s="3" t="inlineStr">
        <is>
          <t>Открыт</t>
        </is>
      </c>
      <c r="E15" s="3" t="inlineStr">
        <is>
          <t>Без них часть проверок может быть заблокирована.</t>
        </is>
      </c>
      <c r="F15" s="3" t="n"/>
    </row>
    <row r="16" ht="48" customHeight="1" s="10">
      <c r="A16" s="2" t="inlineStr">
        <is>
          <t>Q-15</t>
        </is>
      </c>
      <c r="B16" s="3" t="inlineStr">
        <is>
          <t>Критерии выхода</t>
        </is>
      </c>
      <c r="C16" s="3" t="inlineStr">
        <is>
          <t>Какие уровни Severity/Priority и критерии завершения приняты командой?</t>
        </is>
      </c>
      <c r="D16" s="3" t="inlineStr">
        <is>
          <t>Открыт</t>
        </is>
      </c>
      <c r="E16" s="3" t="inlineStr">
        <is>
          <t>Нужно для финального QA-отчёта.</t>
        </is>
      </c>
      <c r="F16" s="3" t="n"/>
    </row>
  </sheetData>
  <dataValidations count="1">
    <dataValidation sqref="D2:D16" showDropDown="0" showInputMessage="0" showErrorMessage="0" allowBlank="0" type="list">
      <formula1>"Открыт,В работе,Согласовано,Не применимо"</formula1>
    </dataValidation>
  </dataValidations>
  <pageMargins left="0.25" right="0.25" top="1" bottom="1" header="0.5" footer="0.5"/>
  <pageSetup orientation="landscape" paperSize="9" fitToHeight="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topLeftCell="C1" workbookViewId="0">
      <pane ySplit="1" topLeftCell="A2" activePane="bottomLeft" state="frozen"/>
      <selection pane="bottomLeft" activeCell="F7" sqref="F7"/>
    </sheetView>
  </sheetViews>
  <sheetFormatPr baseColWidth="8" defaultRowHeight="14.4"/>
  <cols>
    <col width="12" customWidth="1" style="10" min="1" max="1"/>
    <col width="42" customWidth="1" style="10" min="2" max="2"/>
    <col width="34" customWidth="1" style="10" min="3" max="3"/>
    <col width="48" customWidth="1" style="10" min="4" max="4"/>
    <col width="42" customWidth="1" style="10" min="5" max="5"/>
    <col width="40" customWidth="1" style="10" min="6" max="6"/>
    <col width="42" customWidth="1" style="10" min="7" max="7"/>
    <col width="46" customWidth="1" style="10" min="8" max="8"/>
    <col width="14" customWidth="1" style="10" min="9" max="9"/>
    <col width="12" customWidth="1" style="10" min="10" max="10"/>
    <col width="18" customWidth="1" style="10" min="11" max="11"/>
    <col width="65" customWidth="1" style="10" min="12" max="12"/>
  </cols>
  <sheetData>
    <row r="1" ht="34.05" customHeight="1" s="10">
      <c r="A1" s="6" t="inlineStr">
        <is>
          <t>ID</t>
        </is>
      </c>
      <c r="B1" s="6" t="inlineStr">
        <is>
          <t>Название</t>
        </is>
      </c>
      <c r="C1" s="6" t="inlineStr">
        <is>
          <t>Предусловия</t>
        </is>
      </c>
      <c r="D1" s="6" t="inlineStr">
        <is>
          <t>Шаги воспроизведения</t>
        </is>
      </c>
      <c r="E1" s="6" t="inlineStr">
        <is>
          <t>Ожидаемый результат</t>
        </is>
      </c>
      <c r="F1" s="6" t="inlineStr">
        <is>
          <t>Фактический результат</t>
        </is>
      </c>
      <c r="G1" s="6" t="inlineStr">
        <is>
          <t>Окружение</t>
        </is>
      </c>
      <c r="H1" s="6" t="inlineStr">
        <is>
          <t>Вложения</t>
        </is>
      </c>
      <c r="I1" s="6" t="inlineStr">
        <is>
          <t>Severity</t>
        </is>
      </c>
      <c r="J1" s="6" t="inlineStr">
        <is>
          <t>Priority</t>
        </is>
      </c>
      <c r="K1" s="6" t="inlineStr">
        <is>
          <t>Воспроизводимость</t>
        </is>
      </c>
      <c r="L1" s="6" t="inlineStr">
        <is>
          <t>Заметки</t>
        </is>
      </c>
    </row>
    <row r="2" ht="60" customHeight="1" s="10">
      <c r="A2" s="7" t="inlineStr">
        <is>
          <t>BR-001</t>
        </is>
      </c>
      <c r="B2" s="7" t="inlineStr">
        <is>
          <t>Ошибка при добавлении карты МИР с помощью сканирования при первом запуске приложения</t>
        </is>
      </c>
      <c r="C2" s="7" t="inlineStr">
        <is>
          <t>Приложение установлено, но запускается впервые</t>
        </is>
      </c>
      <c r="D2" s="7" t="inlineStr">
        <is>
          <t>1. Открыть MIR Pay
2. Выдать разрешения приложению
3. Просканировать карту МИР с помощью NFC</t>
        </is>
      </c>
      <c r="E2" s="7" t="inlineStr">
        <is>
          <t>Карта успешно добавлена</t>
        </is>
      </c>
      <c r="F2" s="7" t="inlineStr">
        <is>
          <t>Ошибка «Вы пытаетесь добавить карту отличную от системы МИР»</t>
        </is>
      </c>
      <c r="G2" s="7" t="inlineStr">
        <is>
          <t>Xiaomi Redmi Note 13+ Pro 5G; HyperOS 3.0.301.0.WNORUXC0; версия приложения 1.64.5.330</t>
        </is>
      </c>
      <c r="H2" s="8" t="inlineStr">
        <is>
          <t>screenshots + logcat
https://drive.google.com/drive/folders/10jWvaFW38a1fCROjavYmH7d_KNWNC8_m?usp=sharing</t>
        </is>
      </c>
      <c r="I2" s="7" t="inlineStr">
        <is>
          <t>S2 Major</t>
        </is>
      </c>
      <c r="J2" s="7" t="inlineStr">
        <is>
          <t>P2</t>
        </is>
      </c>
      <c r="K2" s="7" t="inlineStr">
        <is>
          <t>Всегда</t>
        </is>
      </c>
      <c r="L2" s="7" t="inlineStr">
        <is>
          <t>Предварительная оценка. Дефект воспроизводится при первом запуске в сценарии добавления карты. Проверить ручное добавление как обходной путь; если карта не добавляется ни одним способом, повысить приоритет до P1.</t>
        </is>
      </c>
    </row>
    <row r="3" ht="60" customHeight="1" s="10">
      <c r="A3" s="9" t="inlineStr">
        <is>
          <t>BR-002</t>
        </is>
      </c>
      <c r="B3" s="9" t="inlineStr">
        <is>
          <t>Нет возможности закрыть модальное окно (оповещения/уведомления об ошибке)</t>
        </is>
      </c>
      <c r="C3" s="9" t="inlineStr">
        <is>
          <t>Приложение установлено</t>
        </is>
      </c>
      <c r="D3" s="9" t="inlineStr">
        <is>
          <t>1. Открыть MIR Pay
2. Нажать «Добавить карту» на главном экране
3. Добавить карту любым способом, введя невалидные данные
4. Увидеть всплывающее окно с ошибкой</t>
        </is>
      </c>
      <c r="E3" s="9" t="inlineStr">
        <is>
          <t>После появления модального окна его можно закрыть нажатием вне области окна или кнопкой закрытия («×»)</t>
        </is>
      </c>
      <c r="F3" s="9" t="inlineStr">
        <is>
          <t>Функции закрытия нет; нажатие вне окна не закрывает его</t>
        </is>
      </c>
      <c r="G3" s="9" t="inlineStr">
        <is>
          <t>Xiaomi Redmi Note 13+ Pro 5G; HyperOS 3.0.301.0.WNORUXC0; версия приложения 1.64.5.330</t>
        </is>
      </c>
      <c r="H3" s="8" t="inlineStr">
        <is>
          <t>screenshots + logcat
https://drive.google.com/drive/folders/10jWvaFW38a1fCROjavYmH7d_KNWNC8_m?usp=sharing</t>
        </is>
      </c>
      <c r="I3" s="9" t="inlineStr">
        <is>
          <t>S2 Major</t>
        </is>
      </c>
      <c r="J3" s="9" t="inlineStr">
        <is>
          <t>P2</t>
        </is>
      </c>
      <c r="K3" s="9" t="inlineStr">
        <is>
          <t>Всегда</t>
        </is>
      </c>
      <c r="L3" s="9" t="inlineStr">
        <is>
          <t>Предварительно S2/P2: модальное окно не закрывается описанными способами и может блокировать продолжение сценария. Проверить системную кнопку «Назад»; если она закрывает окно и пользователь может продолжить, рассмотреть S3/P3. Требование о закрытии нажатием вне окна/по «×» подтвердить.</t>
        </is>
      </c>
    </row>
    <row r="4" ht="60" customHeight="1" s="10">
      <c r="A4" s="7" t="inlineStr">
        <is>
          <t>BR-003</t>
        </is>
      </c>
      <c r="B4" s="7" t="inlineStr">
        <is>
          <t>По нажатию на номер карты не открывается полный номер карты/виртуального счёта</t>
        </is>
      </c>
      <c r="C4" s="7" t="inlineStr">
        <is>
          <t>Приложение установлено, карта добавлена</t>
        </is>
      </c>
      <c r="D4" s="7" t="inlineStr">
        <is>
          <t>1. Открыть MIR Pay
2. На главном экране выбрать карту и открыть «Подробнее»
3. В данных карты нажать на замаскированный номер карты</t>
        </is>
      </c>
      <c r="E4" s="7" t="inlineStr">
        <is>
          <t>По нажатию раскрывается полный номер карты, если это предусмотрено требованиями и политикой безопасности</t>
        </is>
      </c>
      <c r="F4" s="7" t="inlineStr">
        <is>
          <t>Нет реакции; номер карты не раскрывается</t>
        </is>
      </c>
      <c r="G4" s="7" t="inlineStr">
        <is>
          <t>Xiaomi Redmi Note 13+ Pro 5G; HyperOS 3.0.301.0.WNORUXC0; версия приложения 1.64.5.330</t>
        </is>
      </c>
      <c r="H4" s="8" t="inlineStr">
        <is>
          <t>screenshots + logcat
https://drive.google.com/drive/folders/10jWvaFW38a1fCROjavYmH7d_KNWNC8_m?usp=sharing</t>
        </is>
      </c>
      <c r="I4" s="7" t="inlineStr">
        <is>
          <t>S3 Minor</t>
        </is>
      </c>
      <c r="J4" s="7" t="inlineStr">
        <is>
          <t>P4</t>
        </is>
      </c>
      <c r="K4" s="7" t="inlineStr">
        <is>
          <t>Всегда</t>
        </is>
      </c>
      <c r="L4" s="7" t="inlineStr">
        <is>
          <t>Предварительно S3/P4 и требует подтверждения по спецификации: раскрытие полного номера карты может быть не предусмотрено и ограничено требованиями безопасности. До подтверждения требования трактовать как наблюдение, а не окончательно подтверждённый дефект.</t>
        </is>
      </c>
    </row>
    <row r="5" ht="60" customHeight="1" s="10">
      <c r="A5" s="9" t="inlineStr">
        <is>
          <t>BR-004</t>
        </is>
      </c>
      <c r="B5" s="9" t="inlineStr">
        <is>
          <t>Загрузка приложения более 2 минут при мобильном интернете</t>
        </is>
      </c>
      <c r="C5" s="9" t="inlineStr">
        <is>
          <t>Устройство подключено к мобильному интернету 3G/4G</t>
        </is>
      </c>
      <c r="D5" s="9" t="inlineStr">
        <is>
          <t>1. Подключить устройство к мобильному интернету
2. Открыть приложение
3. Зафиксировать длительность отображения экрана загрузки</t>
        </is>
      </c>
      <c r="E5" s="9" t="inlineStr">
        <is>
          <t>Приложение загружается в приемлемое время при доступном интернете либо показывает понятное сообщение об ошибке/повторе</t>
        </is>
      </c>
      <c r="F5" s="9" t="inlineStr">
        <is>
          <t>Экран загрузки отображается около 2 минут</t>
        </is>
      </c>
      <c r="G5" s="9" t="inlineStr">
        <is>
          <t>Xiaomi Redmi Note 13+ Pro 5G; HyperOS 3.0.301.0.WNORUXC0; версия приложения 1.64.5.330</t>
        </is>
      </c>
      <c r="H5" s="8" t="inlineStr">
        <is>
          <t>screenshots + logcat
https://drive.google.com/drive/folders/10jWvaFW38a1fCROjavYmH7d_KNWNC8_m?usp=sharing</t>
        </is>
      </c>
      <c r="I5" s="9" t="inlineStr">
        <is>
          <t>S2 Major</t>
        </is>
      </c>
      <c r="J5" s="9" t="inlineStr">
        <is>
          <t>P2</t>
        </is>
      </c>
      <c r="K5" s="9" t="inlineStr">
        <is>
          <t>Зачастую</t>
        </is>
      </c>
      <c r="L5" s="9" t="inlineStr">
        <is>
          <t>Предварительно S2/P2, если экран загрузки около 2 минут мешает доступу к основным функциям при обычном мобильном интернете. Зафиксировать точное время, тип сети и повторяемость; если задержка редкая и приложение остаётся доступным, пересмотреть на S3/P3.</t>
        </is>
      </c>
    </row>
    <row r="6" ht="60" customHeight="1" s="10">
      <c r="A6" s="7" t="inlineStr">
        <is>
          <t>BR-005</t>
        </is>
      </c>
      <c r="B6" s="7" t="inlineStr">
        <is>
          <t>Отсутствует сообщение о необходимости ввести валидные данные для заполнения поля CVV при добавлении новой карты</t>
        </is>
      </c>
      <c r="C6" s="7" t="inlineStr">
        <is>
          <t>Приложение установлено</t>
        </is>
      </c>
      <c r="D6" s="7" t="inlineStr">
        <is>
          <t>1. Открыть MIR Pay
2. На главном экране нажать «Добавить карту»
3. Ввести невалидные данные
4. Нажать на поле CVP</t>
        </is>
      </c>
      <c r="E6" s="7" t="inlineStr">
        <is>
          <t>Пользователь получает понятное сообщение о необходимости ввести корректные данные; поле и сценарий ввода имеют ясное состояние</t>
        </is>
      </c>
      <c r="F6" s="7" t="inlineStr">
        <is>
          <t>Поле не активируется по нажатию, сообщение отсутствует. Пользователь может решить, что поле не работает</t>
        </is>
      </c>
      <c r="G6" s="7" t="inlineStr">
        <is>
          <t>Xiaomi Redmi Note 13+ Pro 5G; HyperOS 3.0.301.0.WNORUXC0; версия приложения 1.64.5.330</t>
        </is>
      </c>
      <c r="H6" s="8" t="inlineStr">
        <is>
          <t>screenshots + logcat
https://drive.google.com/drive/folders/10jWvaFW38a1fCROjavYmH7d_KNWNC8_m?usp=sharing</t>
        </is>
      </c>
      <c r="I6" s="7" t="inlineStr">
        <is>
          <t>S2 Major</t>
        </is>
      </c>
      <c r="J6" s="7" t="inlineStr">
        <is>
          <t>P2</t>
        </is>
      </c>
      <c r="K6" s="7" t="inlineStr">
        <is>
          <t>Всегда</t>
        </is>
      </c>
      <c r="L6" s="7" t="inlineStr">
        <is>
          <t>Предварительно S2/P2, если неактивное поле CVV/CVC блокирует добавление карты и обходного пути нет. Уточнить, является ли дефектом отсутствие сообщения, недоступность поля или оба проявления; при доступном обходном пути пересмотреть на S3/P3.</t>
        </is>
      </c>
    </row>
    <row r="7" ht="60" customHeight="1" s="10">
      <c r="A7" s="9" t="inlineStr">
        <is>
          <t>BR-006</t>
        </is>
      </c>
      <c r="B7" s="9" t="inlineStr">
        <is>
          <t>Сообщение об успешном списании средств при нулевом балансе</t>
        </is>
      </c>
      <c r="C7" s="9" t="inlineStr">
        <is>
          <t>В приложении добавлена карта с нулевым балансом; устройство поддерживает NFC</t>
        </is>
      </c>
      <c r="D7" s="9" t="inlineStr">
        <is>
          <t>1. Оплатить покупку с помощью MIR Pay (NFC)
2. Открыть приложение
3. Открыть историю транзакций
4. Проверить статус операции</t>
        </is>
      </c>
      <c r="E7" s="9" t="inlineStr">
        <is>
          <t>При недостатке средств отображается соответствующее сообщение; при наличии другой добавленной карты предлагается выбрать её</t>
        </is>
      </c>
      <c r="F7" s="9" t="inlineStr">
        <is>
          <t>В истории транзакций отображается сообщение об успешной оплате при нулевом балансе карты</t>
        </is>
      </c>
      <c r="G7" s="9" t="inlineStr">
        <is>
          <t>Xiaomi Redmi Note 13+ Pro 5G; HyperOS 3.0.301.0.WNORUXC0; версия приложения 1.64.5.330</t>
        </is>
      </c>
      <c r="H7" s="8" t="inlineStr">
        <is>
          <t>screenshots + logcat
https://drive.google.com/drive/folders/10jWvaFW38a1fCROjavYmH7d_KNWNC8_m?usp=sharing</t>
        </is>
      </c>
      <c r="I7" s="9" t="inlineStr">
        <is>
          <t>S2 Major</t>
        </is>
      </c>
      <c r="J7" s="9" t="inlineStr">
        <is>
          <t>P1</t>
        </is>
      </c>
      <c r="K7" s="9" t="inlineStr">
        <is>
          <t>Однократно</t>
        </is>
      </c>
      <c r="L7" s="9" t="inlineStr">
        <is>
          <t>Высокий приоритет из-за риска недостоверного статуса платежа. Сверить статус по данным банка/эквайера или утверждённого QA-источника. Если подтверждено, что приложение сообщает об успешной оплате при фактически отклонённой/несостоявшейся операции, рассмотреть S1 Critical / P1.</t>
        </is>
      </c>
    </row>
    <row r="8"/>
    <row r="9" ht="42" customHeight="1" s="10">
      <c r="A9" s="15" t="inlineStr">
        <is>
          <t>Примечание по Severity / Priority</t>
        </is>
      </c>
      <c r="B9" s="9" t="inlineStr">
        <is>
          <t>Оценки предварительные и должны быть подтверждены по требованиям, влиянию на основной сценарий и независимому статусу платёжной операции. Severity — влияние на продукт; Priority — срочность исправления.</t>
        </is>
      </c>
    </row>
  </sheetData>
  <autoFilter ref="A1:L7"/>
  <mergeCells count="1">
    <mergeCell ref="B9:L9"/>
  </mergeCell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MIR Pay — Test Plan</dc:title>
  <dc:subject xmlns:dc="http://purl.org/dc/elements/1.1/">QA test plan, checklist, test cases and summary</dc:subject>
  <dcterms:created xmlns:dcterms="http://purl.org/dc/terms/" xmlns:xsi="http://www.w3.org/2001/XMLSchema-instance" xsi:type="dcterms:W3CDTF">2026-10-21T08:22:29Z</dcterms:created>
  <dcterms:modified xmlns:dcterms="http://purl.org/dc/terms/" xmlns:xsi="http://www.w3.org/2001/XMLSchema-instance" xsi:type="dcterms:W3CDTF">2026-10-29T12:25:07Z</dcterms:modified>
  <cp:lastModifiedBy>Александр Пирогов</cp:lastModifiedBy>
</cp:coreProperties>
</file>